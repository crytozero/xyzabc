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nskar\Downloads\"/>
    </mc:Choice>
  </mc:AlternateContent>
  <xr:revisionPtr revIDLastSave="0" documentId="8_{EC72678D-FB26-4C0F-8F59-5869E2E91875}" xr6:coauthVersionLast="47" xr6:coauthVersionMax="47" xr10:uidLastSave="{00000000-0000-0000-0000-000000000000}"/>
  <bookViews>
    <workbookView xWindow="-110" yWindow="-110" windowWidth="19420" windowHeight="10300" xr2:uid="{00000000-000D-0000-FFFF-FFFF00000000}"/>
  </bookViews>
  <sheets>
    <sheet name="Site Master" sheetId="1" r:id="rId1"/>
    <sheet name="Company Roll-Up" sheetId="2" r:id="rId2"/>
    <sheet name="Methodology and Sources" sheetId="3" r:id="rId3"/>
    <sheet name="Discrepancy Log" sheetId="4" r:id="rId4"/>
    <sheet name="ERCOT Overlay" sheetId="5" r:id="rId5"/>
  </sheets>
  <definedNames>
    <definedName name="_xlnm._FilterDatabase" localSheetId="0" hidden="1">'Site Master'!$A$3:$Y$61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3" i="4" l="1"/>
  <c r="E23" i="4" s="1"/>
  <c r="C23" i="4"/>
  <c r="E22" i="4"/>
  <c r="E21" i="4"/>
  <c r="E20" i="4"/>
  <c r="E19" i="4"/>
  <c r="E18" i="4"/>
  <c r="E17" i="4"/>
  <c r="E16" i="4"/>
  <c r="E15" i="4"/>
  <c r="E14" i="4"/>
  <c r="E13" i="4"/>
  <c r="G14" i="2"/>
  <c r="C14" i="2"/>
</calcChain>
</file>

<file path=xl/sharedStrings.xml><?xml version="1.0" encoding="utf-8"?>
<sst xmlns="http://schemas.openxmlformats.org/spreadsheetml/2006/main" count="1927" uniqueCount="798">
  <si>
    <t>POWERED-LAND DATA CENTER SITE MASTER - FORMER BITCOIN MINERS</t>
  </si>
  <si>
    <t>Compiled 31-Jul-2026. OFFICIAL SOURCES ONLY: SEC filings (10-K / 10-Q / 20-F / 8-K exhibits) and company investor presentations furnished to the SEC. No press coverage, broker research, trade press or third-party databases. Every data column is immediately followed by its source column. Cells reading 'Not disclosed in official sources reviewed' mean exactly that - no inference has been substituted. Check column X (Verification Status) before publication.</t>
  </si>
  <si>
    <t>Company</t>
  </si>
  <si>
    <t>Ticker</t>
  </si>
  <si>
    <t>Site</t>
  </si>
  <si>
    <t>Location</t>
  </si>
  <si>
    <t>Source: Location</t>
  </si>
  <si>
    <t>Grid Operator / Market</t>
  </si>
  <si>
    <t>Source: Grid Operator</t>
  </si>
  <si>
    <t>Utility / Transmission Provider</t>
  </si>
  <si>
    <t>Source: Utility</t>
  </si>
  <si>
    <t>Grid-Approved Capacity (MW)</t>
  </si>
  <si>
    <t>Source: Approved MW</t>
  </si>
  <si>
    <t>Energized / Operating (MW)</t>
  </si>
  <si>
    <t>Source: Energized MW</t>
  </si>
  <si>
    <t>Contracted Critical IT (MW)</t>
  </si>
  <si>
    <t>Source: Contracted MW</t>
  </si>
  <si>
    <t>Expansion Potential (MW)</t>
  </si>
  <si>
    <t>Source: Expansion</t>
  </si>
  <si>
    <t>Buildout Timeline by Year</t>
  </si>
  <si>
    <t>Source: Timeline</t>
  </si>
  <si>
    <t>Grid Approval Status / Stage</t>
  </si>
  <si>
    <t>Source: Approval Status</t>
  </si>
  <si>
    <t>Anchor Tenant / Offtake</t>
  </si>
  <si>
    <t>Source: Tenant</t>
  </si>
  <si>
    <t>Verification Status</t>
  </si>
  <si>
    <t>Analyst Notes</t>
  </si>
  <si>
    <t>IREN Limited</t>
  </si>
  <si>
    <t>IREN</t>
  </si>
  <si>
    <t>Childress</t>
  </si>
  <si>
    <t>Childress County, Texas (approx. 500 acres across three properties)</t>
  </si>
  <si>
    <t>IREN Ltd Form 10-K FY2025 (FYE 30-Jun-2025), filed 28-Aug-2025, Item 1 Business / Item 2 Properties. https://www.sec.gov/Archives/edgar/data/1878848/000187884825000063/iren-20250630.htm</t>
  </si>
  <si>
    <t>ERCOT</t>
  </si>
  <si>
    <t>Not disclosed in official sources reviewed</t>
  </si>
  <si>
    <t>n/a - no official disclosure located</t>
  </si>
  <si>
    <t>750 MW site capacity; executed grid connection agreement</t>
  </si>
  <si>
    <t>650 MW operating (BTC mining) as of 30-Jun-2025; 75 MW (Horizon 1) under construction; 25 MW available power</t>
  </si>
  <si>
    <t>60 MW of existing Childress data center capacity allocated to the 5-yr, $3.4bn NVIDIA AI Cloud contract (air-cooled Blackwell)</t>
  </si>
  <si>
    <t>IREN Ltd, 'Business Update and Q3 FY26 Results', 8-K exhibit, 7-May-2026, pp.1-2. https://www.sec.gov/Archives/edgar/data/1878848/000187884826000025/irenreportsq3fy26results.htm</t>
  </si>
  <si>
    <t>Within the 750 MW envelope: Horizons 1-4 (480 MW total co. capacity) by YE CY2026; Horizons 5-6 plus additional air-cooled capacity in CY2027</t>
  </si>
  <si>
    <t>CY2023: operating from Apr-2023. CY2026: Horizon 1-4 delivery by year-end (co-wide 480 MW). CY2027: Horizons 5-6 + Childress air-cooled; NVIDIA GPU ramp from early 2027</t>
  </si>
  <si>
    <t>APPROVED / ENERGIZED - executed grid connection agreement; operating since Apr-2023</t>
  </si>
  <si>
    <t>Microsoft ($9.7bn agreement, liquid-cooled Horizon 1-4); NVIDIA ($3.4bn, 5-yr, 60 MW air-cooled)</t>
  </si>
  <si>
    <t>Verified - direct read of cited 8-K / presentation exhibit</t>
  </si>
  <si>
    <t>Company-level: 2,910 MW of grid-connected power secured as of FY25 10-K, 2,750 MW (95%) in Texas. Horizon 1 initially described as up to 50 MW IT load at up to 200 kW/rack; 75 MW is the gross figure in the FY25 property table.</t>
  </si>
  <si>
    <t>Sweetwater 1</t>
  </si>
  <si>
    <t>Sweetwater, Texas (Sweetwater 1 and 2 combined: approx. 1,836 acres freehold)</t>
  </si>
  <si>
    <t>1,400 MW</t>
  </si>
  <si>
    <t>0 MW energized IT load; substation energized during quarter ended 31-Mar-2026</t>
  </si>
  <si>
    <t>Part of IREN's 5 GW secured-power global pipeline; further Sweetwater capacity expected to ramp from 2028</t>
  </si>
  <si>
    <t>FY26 Q3 (Mar-2026): Sweetwater 1 substation energized. CY2027: Sweetwater 1 initial phase, within co-wide 1,210 MW in build. 2028+: additional Sweetwater capacity ramps</t>
  </si>
  <si>
    <t>APPROVED - executed grid connection agreement; substation constructed and energized as of Q3 FY26 (quarter ended 31-Mar-2026)</t>
  </si>
  <si>
    <t>FY25 10-K property table described Sweetwater 1 as '1,400 MW, substation under construction'; the Q3 FY26 8-K confirms energization. Both cited.</t>
  </si>
  <si>
    <t>Sweetwater 2</t>
  </si>
  <si>
    <t>Sweetwater, Texas</t>
  </si>
  <si>
    <t>600 MW</t>
  </si>
  <si>
    <t>0 MW</t>
  </si>
  <si>
    <t>2028+: additional Sweetwater capacity expected to ramp from 2028</t>
  </si>
  <si>
    <t>APPROVED - signed connection agreement (per FY25 10-K property table)</t>
  </si>
  <si>
    <t>RE-VERIFY before publication - figure sourced from search index summary of the cited document, not a direct read</t>
  </si>
  <si>
    <t>The '600 MW / signed connection agreement' descriptor was returned by a search index summary of the FY25 10-K property table; direct read of the tagged table recommended before publication.</t>
  </si>
  <si>
    <t>Kiowa</t>
  </si>
  <si>
    <t>Kiowa (state not specified in the cited 8-K)</t>
  </si>
  <si>
    <t>Not quantified in the cited SEC filing</t>
  </si>
  <si>
    <t>2028+: 'Additional Sweetwater and Kiowa data center capacity expected to ramp from 2028'</t>
  </si>
  <si>
    <t>IREN's corporate website lists an Oklahoma campus at 1,600 MW; that figure was NOT located in an SEC filing and is therefore excluded per the official-sources-only mandate. Recommend confirming from the FY26 10-K when filed (FYE 30-Jun-2026).</t>
  </si>
  <si>
    <t>Prince George</t>
  </si>
  <si>
    <t>Prince George, British Columbia, Canada</t>
  </si>
  <si>
    <t>approx. 50 MW of data center capacity as of 30-Jun-2025</t>
  </si>
  <si>
    <t>approx. 50 MW; operating since Sep-2022</t>
  </si>
  <si>
    <t>$0.5bn ARR under contract from GPU deployments at Prince George</t>
  </si>
  <si>
    <t>CY2022: operating from Sep-2022. CY2025: GPU expansion to approx. 10.9k NVIDIA GPUs across BC by end CY2025</t>
  </si>
  <si>
    <t>ENERGIZED / OPERATING</t>
  </si>
  <si>
    <t>Verified - direct read of cited filing</t>
  </si>
  <si>
    <t>British Columbia sites total 160 MW as of 30-Jun-2025.</t>
  </si>
  <si>
    <t>Canal Flats</t>
  </si>
  <si>
    <t>Canal Flats, British Columbia, Canada</t>
  </si>
  <si>
    <t>approx. 30 MW as of 30-Jun-2025</t>
  </si>
  <si>
    <t>approx. 30 MW; operating since 2019</t>
  </si>
  <si>
    <t>Operating since 2019 (acquired Jan-2020)</t>
  </si>
  <si>
    <t>Approx. 5.2 EH/s hashrate capacity as of 30-Jun-2025.</t>
  </si>
  <si>
    <t>Mackenzie</t>
  </si>
  <si>
    <t>Mackenzie, British Columbia, Canada</t>
  </si>
  <si>
    <t>approx. 80 MW (DERIVED: 160 MW total BC less 50 MW Prince George less 30 MW Canal Flats)</t>
  </si>
  <si>
    <t>Included within the 160 MW British Columbia operating total as of 30-Jun-2025</t>
  </si>
  <si>
    <t>DERIVED - arithmetic from two disclosed figures; not stated as such in filing</t>
  </si>
  <si>
    <t>DERIVED FIGURE - the 80 MW is arithmetic, not a disclosed number. Do not publish without confirming from the FY25 10-K property table.</t>
  </si>
  <si>
    <t>Nostrum Group (Spain) portfolio</t>
  </si>
  <si>
    <t>Spain</t>
  </si>
  <si>
    <t>490 MW added via pending acquisition of Ingenostrum, S.L. (Nostrum Group), plus a GW+ development pipeline</t>
  </si>
  <si>
    <t>GW+ development pipeline (not quantified)</t>
  </si>
  <si>
    <t>2028+ expansion across Europe underway</t>
  </si>
  <si>
    <t>PENDING ACQUISITION - subject to regulatory approvals and closing conditions as of 7-May-2026</t>
  </si>
  <si>
    <t>Acquisition was pending, not closed, as of the Q3 FY26 8-K.</t>
  </si>
  <si>
    <t>Cipher Mining</t>
  </si>
  <si>
    <t>CIFR</t>
  </si>
  <si>
    <t>Odessa</t>
  </si>
  <si>
    <t>Odessa, Texas (approx. 52 acres, adjacent to a natural gas power production facility)</t>
  </si>
  <si>
    <t>Cipher Mining Inc. Form 10-K FY2025 (FYE 31-Dec-2025), filed Feb-2026, Item 1 Business - 'Data Center Portfolio' / 'Site Pipeline'. https://www.sec.gov/Archives/edgar/data/1819989/000181998926000009/cifr-20251231.htm</t>
  </si>
  <si>
    <t>Luminant ET Services Company LLC (PPA)</t>
  </si>
  <si>
    <t>207 MW (wholly owned)</t>
  </si>
  <si>
    <t>approx. 207 MW operating (bitcoin mining); build-out completed Sep-2023</t>
  </si>
  <si>
    <t>None - self-mining</t>
  </si>
  <si>
    <t>'May also be suitable for retrofitting for HPC tenants' - not quantified</t>
  </si>
  <si>
    <t>Nov-2022: mining commenced. Sep-2023: build-out complete. PPA access to power at approx. 2.8 c/kWh until at least Jul-2027</t>
  </si>
  <si>
    <t>None (self-mining)</t>
  </si>
  <si>
    <t>Power cost rose from approx. 2.7 c/kWh to 2.8 c/kWh in Oct-2025.</t>
  </si>
  <si>
    <t>Barber Lake</t>
  </si>
  <si>
    <t>Near Colorado City, Texas (250 acres owned by Cipher Barber Lake LLC)</t>
  </si>
  <si>
    <t>300 MW gross - 'received approvals for 300 MW of interconnection without any restrictions on the load profile'; ERCOT market participation agreements executed</t>
  </si>
  <si>
    <t>Energized substation on site; 56 MW shown as energized at Barber Lake as of the Nov-2025 business update</t>
  </si>
  <si>
    <t>Cipher Mining Inc. Form 10-K FY2025 (FYE 31-Dec-2025), filed Feb-2026, Item 1 Business - 'Data Center Portfolio' / 'Site Pipeline'. https://www.sec.gov/Archives/edgar/data/1819989/000181998926000009/cifr-20251231.htm ; Cipher Mining Inc. Form 8-K Ex-99.2, 3-Nov-2025, Business Update Presentation, slides 3, 4, 6, 10, 11, 12. https://www.sec.gov/Archives/edgar/data/1819989/000181998925000110/ciphermining_businessupd.htm</t>
  </si>
  <si>
    <t>300 MW gross: 244 MW to Fluidstack in Phase I, 56 MW in Phase II. The Nov-2025 deck states the Fluidstack lease is 244 MW GROSS = 168 IT MW, i.e. a gross-to-critical ratio of 1.452x, and approx. $3.0bn of minimum contracted revenue</t>
  </si>
  <si>
    <t>Signed MOU to negotiate an additional 500 MW data center adjacent to the current 300 MW site, expected to be available 2029-2030</t>
  </si>
  <si>
    <t>Cipher Mining Inc. Form 8-K Ex-99.2, 3-Nov-2025, Business Update Presentation, slides 3, 4, 6, 10, 11, 12. https://www.sec.gov/Archives/edgar/data/1819989/000181998925000110/ciphermining_businessupd.htm</t>
  </si>
  <si>
    <t>2025: construction commenced. By 30-Sep-2026: Phase I delivery target. By 31-Jan-2027: Phase II delivery target</t>
  </si>
  <si>
    <t>APPROVED - unrestricted 300 MW interconnection approval; ERCOT market agreements in place</t>
  </si>
  <si>
    <t>Fluidstack USA II Inc., with Google LLC backstopping certain Fluidstack obligations under a lease recognition agreement</t>
  </si>
  <si>
    <t>ACREAGE CONFLICT: the FY25 10-K says the facility is being constructed on 250 acres owned by Cipher Barber Lake; the Nov-2025 deck states 587 total acres for the Barber Lake site. Most likely owned-parcel vs total-site, but unconfirmed. Modular / off-site-manufacture delivery framework with early long-lead procurement.</t>
  </si>
  <si>
    <t>Black Pearl</t>
  </si>
  <si>
    <t>Near Wink, Texas (approx. 75 acres, wholly owned subsidiary)</t>
  </si>
  <si>
    <t>300 MW - 'received approvals for 300 MW of interconnection'; ERCOT market participation agreements executed</t>
  </si>
  <si>
    <t>Mining commenced Jun-2025, ramped to 150 MW by Sep-2025; bitcoin mining ceased Feb-2026 to enable the AWS retrofit</t>
  </si>
  <si>
    <t>approx. 300 gross MW of turnkey data center capacity under a 15-year lease with Amazon Web Services, Inc.</t>
  </si>
  <si>
    <t>Not disclosed beyond 300 MW</t>
  </si>
  <si>
    <t>Jun-2025: mining start. Sep-2025: 150 MW. OCT-2025: AWS lease executed (announced 3-Nov-2025). Feb-2026: mining ceased. Q4 CY2026: Phase I initial subphase rent commencement. Q1 CY2027: Phase II initial subphase; rent fully ramped on final subphase completion. SCHEDULE SLIPPED: Nov-2025 guidance was delivery Jul-2026 to Q4-2026 with rent commencing Aug-2026</t>
  </si>
  <si>
    <t>APPROVED - 300 MW interconnection approvals received</t>
  </si>
  <si>
    <t>Amazon Web Services, Inc. (15-year triple net lease, approx. $5.5bn estimated contract value, Amazon parent guarantee equal to rent and opex for the life of the lease)</t>
  </si>
  <si>
    <t>Cipher Mining Inc. Form 10-K FY2025 (FYE 31-Dec-2025), filed Feb-2026, Item 1 Business - 'Data Center Portfolio' / 'Site Pipeline'. https://www.sec.gov/Archives/edgar/data/1819989/000181998926000009/cifr-20251231.htm ; Cipher Mining Inc. Form 8-K Ex-99.1, 3-Nov-2025, 'Cipher Mining Provides Third Quarter 2025 Business Update'. https://www.sec.gov/Archives/edgar/data/1819989/000181998925000110/nov3_earningspressreleasex.htm</t>
  </si>
  <si>
    <t>DATE DISCREPANCY RESOLVED: use OCTOBER 2025 as the execution date. The 10-K's dedicated 'Amazon Data Center Lease' disclosure (Item 1, HPC Leases) says October 2025; the Properties/facility narrative later in the same filing says November 2025. The 3-Nov-2025 8-K says Cipher 'today announced' the lease - i.e. November is the ANNOUNCEMENT date, October the execution date. The Properties reference is a drafting inconsistency. SEPARATE FINDING: the AWS rent-commencement date slipped from Aug-2026 (Nov-2025 deck) to Q4-2026 (FY25 10-K), roughly a one-quarter delay. Cipher paid approx. $554.0m for PP&amp;E in Q1 CY2026, primarily Black Pearl and Barber Lake build-out.</t>
  </si>
  <si>
    <t>Colchis</t>
  </si>
  <si>
    <t>West Texas (options to purchase approx. 620 acres adjacent to an existing substation)</t>
  </si>
  <si>
    <t>American Electric Power (AEP)</t>
  </si>
  <si>
    <t>1 GW capability; 'fully executed direct interconnection agreement with AEP for a dual interconnection facility'</t>
  </si>
  <si>
    <t>Nov-2025: majority JV interest purchased. CY2028: targeted energization</t>
  </si>
  <si>
    <t>AGREEMENT EXECUTED BUT ERCOT APPROVAL STILL PENDING - fully executed 1 GW Direct Connect Agreement with AEP (dual interconnection facility). 'Construction of the interconnection facility will proceed in parallel with ERCOT's final review and approval'; deck footnote reads 'pending ERCOT approval'</t>
  </si>
  <si>
    <t>Cipher Mining Inc. Form 8-K Ex-99.1, 3-Nov-2025, 'Cipher Mining Provides Third Quarter 2025 Business Update'. https://www.sec.gov/Archives/edgar/data/1819989/000181998925000110/nov3_earningspressreleasex.htm ; Cipher Mining Inc. Form 8-K Ex-99.2, 3-Nov-2025, Business Update Presentation, slides 3, 4, 6, 10, 11, 12. https://www.sec.gov/Archives/edgar/data/1819989/000181998925000110/ciphermining_businessupd.htm</t>
  </si>
  <si>
    <t>IMPORTANT NUANCE: do NOT treat Colchis's 1 GW as ERCOT-approved. The AEP Direct Connect Agreement is executed but ERCOT final review is outstanding - materially weaker than Galaxy's LLIS-complete status or Cipher's own Barber Lake / Black Pearl approvals. The Nov-2025 deck puts Cipher's expected JV equity at approx. 95% (the 10-K says only 'majority'), assuming standard HPC lease and development terms. 620 acres under option.</t>
  </si>
  <si>
    <t>Ulysses</t>
  </si>
  <si>
    <t>Ohio (land options over approx. 195 acres)</t>
  </si>
  <si>
    <t>PJM Interconnection L.L.C.</t>
  </si>
  <si>
    <t>AEP Ohio</t>
  </si>
  <si>
    <t>200 MW - capacity secured from AEP Ohio</t>
  </si>
  <si>
    <t>Dec-2025: site acquired. Q4 CY2027: expected energization</t>
  </si>
  <si>
    <t>CAPACITY SECURED from AEP Ohio; site not yet energized</t>
  </si>
  <si>
    <t>Cipher's first site outside Texas; provides direct PJM access.</t>
  </si>
  <si>
    <t>Stingray</t>
  </si>
  <si>
    <t>West Texas</t>
  </si>
  <si>
    <t>Up to 100 MW - CONDITIONAL ERCOT interconnection approval</t>
  </si>
  <si>
    <t>0 MW as of the 10-K</t>
  </si>
  <si>
    <t>TIMELINE CONFLICT: FY25 10-K (Feb-2026) says 1H CY2026 expected energization; the Nov-2025 deck says energization expected Q4 CY2026. The later-dated 10-K governs but the direction of travel is unusual (guidance pulled forward)</t>
  </si>
  <si>
    <t>CONDITIONAL APPROVAL - 'conditional ERCOT interconnection approval of up to 100 MW'. The Nov-2025 deck describes Stingray as having 'Approvals for 100 MW of interconnection / agreements necessary to participate in the ERCOT market' and labels it 100 MW Approved Power Capacity</t>
  </si>
  <si>
    <t>Note the conditionality in the 10-K versus the unqualified 'approved' language in the deck - the 10-K is later-dated and more conservative; use it. 250 acres in West Texas; substation under development with transformers and high-voltage breakers secured as long-lead items.</t>
  </si>
  <si>
    <t>Reveille</t>
  </si>
  <si>
    <t>Cotulla, Texas</t>
  </si>
  <si>
    <t>Up to 70 MW - ERCOT interconnection approval</t>
  </si>
  <si>
    <t>'with the possibility for expansion' - not quantified</t>
  </si>
  <si>
    <t>CY2027: expected energization</t>
  </si>
  <si>
    <t>APPROVED - ERCOT interconnection approval up to 70 MW</t>
  </si>
  <si>
    <t>McLennan</t>
  </si>
  <si>
    <t>Central Texas</t>
  </si>
  <si>
    <t>Targeted capacity up to 500 MW (target, not an approval)</t>
  </si>
  <si>
    <t>Oct-2024: option agreement. Feb-2026: option exercised; purchase rights being exercised. CY2028: estimated energization</t>
  </si>
  <si>
    <t>TARGET ONLY - no interconnection approval. The Nov-2025 deck footnotes the three 500 MW sites as 'total potential capacity of 500 MW per site - PENDING LOAD STUDIES AND ERCOT / ERCOT LFL APPROVAL'. Land purchase rights being exercised as of the 10-K</t>
  </si>
  <si>
    <t>319 acres. Distinguish clearly between 'targeted capacity' (McLennan/Mikeska/Milsing, collectively the '3 M's' = 1,500 MW pending ERCOT large-flexible-load approval) and 'interconnection approval' (Barber Lake/Black Pearl/Reveille).</t>
  </si>
  <si>
    <t>Mikeska</t>
  </si>
  <si>
    <t>Oct-2024: option agreement over SPE holding a ground lease with purchase option. Feb-2026: option exercised. CY2028: estimated energization</t>
  </si>
  <si>
    <t>TARGET ONLY - no interconnection approval; 'pending load studies and ERCOT / ERCOT LFL approval' per the Nov-2025 deck</t>
  </si>
  <si>
    <t>100 acres.</t>
  </si>
  <si>
    <t>Milsing</t>
  </si>
  <si>
    <t>East Texas</t>
  </si>
  <si>
    <t>Oct-2024: option agreement. Dec-2025: option exercised. CY2028-CY2029: estimated energization</t>
  </si>
  <si>
    <t>187 acres.</t>
  </si>
  <si>
    <t>TeraWulf</t>
  </si>
  <si>
    <t>WULF</t>
  </si>
  <si>
    <t>Lake Mariner</t>
  </si>
  <si>
    <t>Barker, New York (former coal-fired power plant site)</t>
  </si>
  <si>
    <t>TeraWulf Inc. Form 10-K FY2025 (FYE 31-Dec-2025), filed 27-Feb-2026, Item 1 Business. https://www.sec.gov/Archives/edgar/data/1083301/000108330126000031/wulf-20251231.htm</t>
  </si>
  <si>
    <t>NYISO (Zone A)</t>
  </si>
  <si>
    <t>New York Power Authority (NYPA) supplies 90 MW under a 10-year agreement executed Feb-2022</t>
  </si>
  <si>
    <t>approx. 500 MW gross capacity in the near term</t>
  </si>
  <si>
    <t>As of 31-Dec-2025: 245 MW legacy bitcoin mining capacity operating + 18 MW critical IT HPC capacity</t>
  </si>
  <si>
    <t>438 MW of contracted critical IT HPC capacity across subsidiaries La Lupa Data LLC and Akela Data LLC; of which Akela/Fluidstack leases = 378 MW</t>
  </si>
  <si>
    <t>Potential expansion to approx. 750 MW gross, SUBJECT TO ADDITIONAL NYISO APPROVALS (i.e. approx. 250 MW of unapproved headroom)</t>
  </si>
  <si>
    <t>Mar-2022: operations commenced. CY2025: construction commenced on Akela phases; some HPC deliveries began; 18 MW critical IT live at YE25. CY2026: further Akela/Fluidstack deliveries</t>
  </si>
  <si>
    <t>PARTIALLY APPROVED - approx. 500 MW gross available near term; the step to approx. 750 MW is expressly conditioned on additional NYISO approvals</t>
  </si>
  <si>
    <t>Fluidstack USA I Inc. (Akela leases, 378 MW), with Google credit support</t>
  </si>
  <si>
    <t>The 500 -&gt; 750 MW step is the single most important approval catalyst in TeraWulf's portfolio. Company-wide contracted critical IT across Lake Mariner + Abernathy = 522 MW.</t>
  </si>
  <si>
    <t>Abernathy HPC Campus</t>
  </si>
  <si>
    <t>Abernathy, Texas</t>
  </si>
  <si>
    <t>Southwest Power Pool (SPP)</t>
  </si>
  <si>
    <t>Designed for 168 MW critical IT load, representing the full build-out of the site</t>
  </si>
  <si>
    <t>0 MW as of 31-Dec-2025</t>
  </si>
  <si>
    <t>168 MW critical IT - fully pre-leased under a 25-year lease</t>
  </si>
  <si>
    <t>None disclosed - 168 MW is stated as the full build-out</t>
  </si>
  <si>
    <t>Oct-2025: amended and restated JV agreement executed (FS CS 1 LLC). Delivery timeline not quantified in the 10-K</t>
  </si>
  <si>
    <t>Not disclosed in official sources reviewed - the 10-K does not state an SPP interconnection approval status for Abernathy</t>
  </si>
  <si>
    <t>Fluidstack USA III (25-year lease with rent escalators and term-contraction options), with Google credit support</t>
  </si>
  <si>
    <t>Held through a JV in which TeraWulf owns 50.1%; JV structure means less unilateral control over strategic decisions (risk factor).</t>
  </si>
  <si>
    <t>Cayuga</t>
  </si>
  <si>
    <t>Lansing, New York (long-term ground lease)</t>
  </si>
  <si>
    <t>NYISO</t>
  </si>
  <si>
    <t>New York State Electric &amp; Gas (NYSEG)</t>
  </si>
  <si>
    <t>None yet approved - 'negotiating and arranging for interconnection rights with NYISO and NYSEG to secure access to up to 300 MW'</t>
  </si>
  <si>
    <t>0 MW - uncontracted</t>
  </si>
  <si>
    <t>Potential to support up to 400 MW gross capacity / approx. 320 MW critical IT load, upon completion of permitting and site development</t>
  </si>
  <si>
    <t>Timeline not quantified in the 10-K; described as 'a key component of the Company's forward development pipeline'</t>
  </si>
  <si>
    <t>IN NEGOTIATION - interconnection rights being negotiated with NYISO and NYSEG for up to 300 MW; permitting incomplete</t>
  </si>
  <si>
    <t>None - uncontracted</t>
  </si>
  <si>
    <t>Note the mismatch: site potential is up to 400 MW gross / 320 MW critical IT, but interconnection is being negotiated for up to 300 MW.</t>
  </si>
  <si>
    <t>Applied Digital</t>
  </si>
  <si>
    <t>APLD</t>
  </si>
  <si>
    <t>Polaris Forge 1</t>
  </si>
  <si>
    <t>Ellendale, North Dakota</t>
  </si>
  <si>
    <t>Applied Digital Corp. Form 10-K FY2026 (FYE 31-May-2026), Item 1 Business - HPC Hosting / Contracted Lease Portfolio / Site and Power Pipeline. https://www.sec.gov/Archives/edgar/data/0001144879/000114487926000048/apld-20260531.htm</t>
  </si>
  <si>
    <t>Not disclosed in official sources reviewed (gross utility MW not separately disclosed; 400 MW of critical IT load is contracted)</t>
  </si>
  <si>
    <t>approx. 100 MW critical IT operational and revenue-generating as of 31-May-2026 (Building 1, operational Oct-2025); Building 2 partially operational</t>
  </si>
  <si>
    <t>400 MW critical IT contracted to CoreWeave across three leases (ELN-02, ELN-03, Building 4); approx. $11.0bn contracted revenue over 15-yr base term</t>
  </si>
  <si>
    <t>Not disclosed in official sources reviewed - campus-level expansion headroom not quantified</t>
  </si>
  <si>
    <t>Oct-2025: Building 1 (approx. 100 MW) operational. Building 2 (+150 MW) partially operational. CY2027: Building 3 (approx. 150 MW) RFS. Lease delivery window 2H25-1H27</t>
  </si>
  <si>
    <t>Not disclosed in official sources reviewed - APLD does not disclose interconnection queue position or utility approval stage by campus</t>
  </si>
  <si>
    <t>CoreWeave, Inc. (leases amended/assigned to CoreWeave Compute Acquisition Co. VIII, LLC on 30-Mar-2026)</t>
  </si>
  <si>
    <t>APLD's disclosure convention is critical IT load, not gross utility MW - do not compare directly to ERCOT-approved gross figures at IREN/Cipher/Galaxy without a PUE adjustment.</t>
  </si>
  <si>
    <t>Polaris Forge 2</t>
  </si>
  <si>
    <t>Near Harwood, North Dakota</t>
  </si>
  <si>
    <t>Not disclosed in official sources reviewed (200 MW critical IT contracted)</t>
  </si>
  <si>
    <t>0 MW as of 31-May-2026</t>
  </si>
  <si>
    <t>200 MW critical IT under an approx. 15-year lease with a U.S.-based investment-grade hyperscaler (not named); approx. $5.0bn contracted revenue</t>
  </si>
  <si>
    <t>18-Aug-2025: groundbreaking. 22-Oct-2025: lease executed. 2H CY2026: initial capacity. Early CY2027: full capacity. Lease delivery window 2H26-1H27</t>
  </si>
  <si>
    <t>Unnamed U.S.-based investment-grade hyperscaler</t>
  </si>
  <si>
    <t>This lease carries two 5-year renewal options versus three for the other campuses.</t>
  </si>
  <si>
    <t>Polaris Forge 3</t>
  </si>
  <si>
    <t>Northern United States region - SPECIFIC LOCATION NOT DISCLOSED</t>
  </si>
  <si>
    <t>Not disclosed in official sources reviewed (300 MW critical IT contracted)</t>
  </si>
  <si>
    <t>0 MW - under construction across two buildings</t>
  </si>
  <si>
    <t>300 MW critical IT across two approx. 15-year leases with a high investment-grade hyperscaler; approx. $7.5bn contracted revenue</t>
  </si>
  <si>
    <t>2H CY2027 through 2H CY2028: expected delivery</t>
  </si>
  <si>
    <t>Unnamed high investment-grade hyperscaler</t>
  </si>
  <si>
    <t>Location withheld by the company. Do not infer.</t>
  </si>
  <si>
    <t>Delta Forge 1</t>
  </si>
  <si>
    <t>Strategic southern U.S. market - SPECIFIC LOCATION NOT DISCLOSED</t>
  </si>
  <si>
    <t>300 MW critical IT across two approx. 15-year leases with a second U.S.-based investment-grade hyperscaler; approx. $7.5bn contracted revenue</t>
  </si>
  <si>
    <t>22-Jan-2026: groundbreaking. 23-Apr-2026: two leases executed. 1H CY2027 - 1H CY2028: expected delivery</t>
  </si>
  <si>
    <t>Delta Forge 2</t>
  </si>
  <si>
    <t>Southern region - SPECIFIC LOCATION NOT DISCLOSED</t>
  </si>
  <si>
    <t>Not disclosed in official sources reviewed (210 MW critical IT contracted)</t>
  </si>
  <si>
    <t>0 MW - single building under construction</t>
  </si>
  <si>
    <t>210 MW critical IT, fully contracted under an approx. 15-year lease (three 5-yr renewal options); approx. $5.2bn contracted revenue</t>
  </si>
  <si>
    <t>1H CY2028: expected delivery</t>
  </si>
  <si>
    <t>Pipeline (unnamed sites)</t>
  </si>
  <si>
    <t>Multiple states - not specified</t>
  </si>
  <si>
    <t>Active pipeline: over 3 GW of utility (gross) power. Extended pipeline: more than 5 GW of utility (gross) power in earlier-stage discussion/diligence</t>
  </si>
  <si>
    <t>Certain active-pipeline sites are scalable to 1 GW or more; plus approx. 1.2 GW of front-of-the-meter natural gas generation being pursued in the Dakotas with Base Electron Corporation</t>
  </si>
  <si>
    <t>Active pipeline = near-term greenfield sites plus expansion at existing campuses. Extended pipeline = earlier-stage discussion or due diligence</t>
  </si>
  <si>
    <t>As of 31-May-2026 APLD had approx. 1.5 GW of critical IT contracted-and-operating-or-under-construction; approx. 100 MW operating and revenue-generating. Total executed leases approx. 1,410 MW / approx. $36.2bn contracted revenue.</t>
  </si>
  <si>
    <t>Galaxy Digital</t>
  </si>
  <si>
    <t>GLXY</t>
  </si>
  <si>
    <t>Helios</t>
  </si>
  <si>
    <t>Dickens County, West Texas, approx. 60 miles from Lubbock; 1,500+ contiguous acres under Galaxy's direct control</t>
  </si>
  <si>
    <t>Galaxy Digital Inc. Form 8-K Ex-99.2, Q1 2026 Investor Overview (as of 31-Mar-2026), slides 7, 14, 15, 16. https://www.sec.gov/Archives/edgar/data/0001859392/000185939226000047/exhibit992-q12026overvie.htm</t>
  </si>
  <si>
    <t>Galaxy Digital Inc. Form 8-K Ex-99.1, 15-Jan-2026, 'Galaxy Completes ERCOT Interconnection Studies and Secures Approval for Additional 830 Megawatts at Helios'. https://www.sec.gov/Archives/edgar/data/1859392/000185939226000005/heliosercotapproval_1x15.htm</t>
  </si>
  <si>
    <t>Service agreement with AEP Texas Inc.; transmission interconnection provider is Wind Energy Transmission Texas, LLC (WETT), owner of the Pitchfork and Cottonwood 345 kV substations (CREZ)</t>
  </si>
  <si>
    <t>Galaxy Digital Inc. Form 8-K Ex-99.1, 15-Jan-2026, 'Galaxy Completes ERCOT Interconnection Studies and Secures Approval for Additional 830 Megawatts at Helios'. https://www.sec.gov/Archives/edgar/data/1859392/000185939226000005/heliosercotapproval_1x15.htm ; Galaxy Digital Inc. Form 8-K Ex-99.2, Q1 2026 Investor Overview (as of 31-Mar-2026), slides 7, 14, 15, 16. https://www.sec.gov/Archives/edgar/data/0001859392/000185939226000047/exhibit992-q12026overvie.htm</t>
  </si>
  <si>
    <t>1,630 MW total approved power capacity (800 MW previously approved + 830 MW approved 15-Jan-2026), described as 'LLIS-complete, ERCOT-approved, and utility-contracted'</t>
  </si>
  <si>
    <t>First data hall delivered to CoreWeave in Apr-2026; Galaxy's privately owned 345 kV substation supports up to 900 MW of transformer capacity across project phases</t>
  </si>
  <si>
    <t>526 MW critical IT leased to CoreWeave for 15 years across three phases (Phase I 133 MW / approx. 200 MW gross; Phase II 260 MW / approx. 400 MW gross; Phase III 133 MW / approx. 200 MW gross) = 800 MW gross leased; anticipated average annual revenue over $1bn</t>
  </si>
  <si>
    <t>830 MW of approved capacity currently uncontracted; total potential power capacity 3,400+ MW, with an additional +1,800 MW under study</t>
  </si>
  <si>
    <t>Pre-2025: six main power transformers installed at project substation; 800 MW approved. 15-Jan-2026: +830 MW ERCOT approval, LLIS complete. Apr-2026: first data hall delivered to CoreWeave. Q2 2026: rent commencement. By 2028: CoreWeave contracted capacity reaches 526 MW critical IT</t>
  </si>
  <si>
    <t>APPROVED - Large Load Interconnection Study (LLIS) complete (steady-state and stability studies reviewed by ERCOT); ERCOT approval received; AEP Texas service agreement executed. A further 1,800 MW is UNDER STUDY</t>
  </si>
  <si>
    <t>CoreWeave (15-year initial term, two 5-year extension options)</t>
  </si>
  <si>
    <t>Galaxy is the cleanest disclosure in the group on grid-approval stage: it explicitly names the LLIS study elements completed. Anticipated average lease-level EBITDA margin approx. 90%. Data center building spans over 125,000 sq ft.</t>
  </si>
  <si>
    <t>Core Scientific</t>
  </si>
  <si>
    <t>CORZ</t>
  </si>
  <si>
    <t>Denton</t>
  </si>
  <si>
    <t>Dallas-Denton, Texas</t>
  </si>
  <si>
    <t>Core Scientific, Inc. Form 10-K FY2025 (FYE 31-Dec-2025), Item 1 Business - gross utility power capacity by facility/utility table. https://www.sec.gov/Archives/edgar/data/1839341/000162828026013305/core-20251231.htm</t>
  </si>
  <si>
    <t>ERCOT (analyst mapping - not stated in the filing)</t>
  </si>
  <si>
    <t>Denton Municipal Electric</t>
  </si>
  <si>
    <t>394 MW gross utility power capacity as of 31-Dec-2025</t>
  </si>
  <si>
    <t>Not disclosed in official sources reviewed at site level</t>
  </si>
  <si>
    <t>70 MW of expansion brings full critical IT load to just over 260 MW</t>
  </si>
  <si>
    <t>Core Scientific, Inc. Form 8-K Ex-99.2, Q1 2025 earnings presentation/commentary, 7-May-2025. https://investors.corescientific.com/sec-filings/all-sec-filings/content/0001628280-25-023161/exhibit992-q12025earning.htm</t>
  </si>
  <si>
    <t>70 MW expansion announced in the Q1 2025 update</t>
  </si>
  <si>
    <t>Not disclosed in official sources reviewed - CORZ discloses gross utility capacity by utility but not interconnection queue stage</t>
  </si>
  <si>
    <t>CoreWeave (HPC colocation) - confirm specific building allocations</t>
  </si>
  <si>
    <t>Largest single-site gross capacity in the CORZ portfolio. The 'just over 260 MW' critical IT figure came from a Q1 2025 8-K exhibit and predates the FY25 10-K - re-verify currency.</t>
  </si>
  <si>
    <t>Cottonwood (Pecos)</t>
  </si>
  <si>
    <t>Pecos, Texas</t>
  </si>
  <si>
    <t>Texas New-Mexico Power (TNMP)</t>
  </si>
  <si>
    <t>300 MW gross utility power capacity as of 31-Dec-2025, UP FROM 253 MW as of 31-Dec-2024 (+47 MW during 2025)</t>
  </si>
  <si>
    <t>Core Scientific, Inc. Form 10-K FY2025 (FYE 31-Dec-2025), Item 1 Business - gross utility power capacity by facility/utility table. https://www.sec.gov/Archives/edgar/data/1839341/000162828026013305/core-20251231.htm ; Core Scientific, Inc. Form 10-K FY2024 (FYE 31-Dec-2024), filed 27-Feb-2025, gross utility power capacity by facility/utility table. https://www.sec.gov/Archives/edgar/data/1839341/000162828025008302/core-20241231.htm</t>
  </si>
  <si>
    <t>Cottonwood 1: 50 MW energized. Cottonwood 2: 21 MW energized (per Q1 2025 update)</t>
  </si>
  <si>
    <t>47 MW of utility capacity was added at this site during calendar 2025</t>
  </si>
  <si>
    <t>CY2025: utility capacity increased from 253 MW to 300 MW</t>
  </si>
  <si>
    <t>DISCREPANCY RESOLVED: not a measurement conflict, a genuine year-over-year increase. The FY2024 10-K utility table shows Texas New-Mexico Power / 253 MW / Pecos, Texas ('Cottonwood'); the FY2025 table shows 300 MW. The '250 MW ERCOT allocation' cited in the Q1 2025 8-K is the rounded FY2024 figure and was correct as of that date. Both numbers are right for their respective periods - date-stamp the figure you use.</t>
  </si>
  <si>
    <t>Calvert City</t>
  </si>
  <si>
    <t>Paducah-Calvert City, Kentucky</t>
  </si>
  <si>
    <t>Tennessee Valley Authority balancing authority (analyst mapping - not stated in the filing)</t>
  </si>
  <si>
    <t>Tennessee Valley Authority (TVA)</t>
  </si>
  <si>
    <t>150 MW gross utility power capacity as of 31-Dec-2025</t>
  </si>
  <si>
    <t>Muskogee</t>
  </si>
  <si>
    <t>Muskogee, Oklahoma</t>
  </si>
  <si>
    <t>SPP (analyst mapping - not stated in the filing)</t>
  </si>
  <si>
    <t>Oklahoma Gas &amp; Electric (OG&amp;E)</t>
  </si>
  <si>
    <t>100 MW gross utility power capacity as of 31-Dec-2025</t>
  </si>
  <si>
    <t>Leased 70 MW building designed for the NVIDIA GB300 platform, in final testing and commissioning</t>
  </si>
  <si>
    <t>Company announced plans to expand the Muskogee campus to 1.5 GW of gross power</t>
  </si>
  <si>
    <t>Core Scientific, Inc. press release, 'Core Scientific Plans Expansion to 1.5 Gigawatts of Gross Power at Muskogee, Oklahoma Campus'. https://investors.corescientific.com/news-events/press-releases/detail/135/core-scientific-plans-expansion-to-1-5-gigawatts-of-gross-power-at-muskogee-oklahoma-campus</t>
  </si>
  <si>
    <t>Q2 CY2026: on track for delivery of the 70 MW building to its customer</t>
  </si>
  <si>
    <t>The 1.5 GW Muskogee expansion plan is a company press release; confirm whether any portion has utility/SPP approval before treating it as pipeline MW.</t>
  </si>
  <si>
    <t>Dalton</t>
  </si>
  <si>
    <t>Dalton, Georgia</t>
  </si>
  <si>
    <t>Southern Company balancing authority / SERC (analyst mapping - not stated in the filing)</t>
  </si>
  <si>
    <t>Dalton Utilities</t>
  </si>
  <si>
    <t>195 MW gross utility power capacity as of 31-Dec-2025</t>
  </si>
  <si>
    <t>Marble (Murphy EPB)</t>
  </si>
  <si>
    <t>Marble, North Carolina</t>
  </si>
  <si>
    <t>Murphy Electric Power Board</t>
  </si>
  <si>
    <t>35 MW gross utility power capacity as of 31-Dec-2025</t>
  </si>
  <si>
    <t>Marble is served by two utilities; the 10-K lists them as separate line items (35 MW Murphy EPB + 82 MW Duke = 117 MW site total).</t>
  </si>
  <si>
    <t>Marble (Duke Energy)</t>
  </si>
  <si>
    <t>Duke Energy</t>
  </si>
  <si>
    <t>82 MW gross utility power capacity as of 31-Dec-2025</t>
  </si>
  <si>
    <t>Grand Forks</t>
  </si>
  <si>
    <t>Grand Forks, North Dakota</t>
  </si>
  <si>
    <t>MISO (analyst mapping - not stated in the filing)</t>
  </si>
  <si>
    <t>Nodak Electric Cooperative, Inc.</t>
  </si>
  <si>
    <t>Austin</t>
  </si>
  <si>
    <t>Austin, Texas</t>
  </si>
  <si>
    <t>Austin Energy</t>
  </si>
  <si>
    <t>20 MW gross utility power capacity as of 31-Dec-2025</t>
  </si>
  <si>
    <t>Smallest site in the portfolio.</t>
  </si>
  <si>
    <t>Auburn</t>
  </si>
  <si>
    <t>Auburn, Alabama</t>
  </si>
  <si>
    <t>Alabama Power Company</t>
  </si>
  <si>
    <t>50 MW gross utility power capacity as of 31-Dec-2025</t>
  </si>
  <si>
    <t>Portfolio total per the 10-K utility table: 1,426 MW across ten line items, described elsewhere in the filing as approx. 1.4 GW gross / approx. 920 MW total leasable customer power capacity across ten data centers in seven states.</t>
  </si>
  <si>
    <t>Hut 8</t>
  </si>
  <si>
    <t>HUT</t>
  </si>
  <si>
    <t>River Bend</t>
  </si>
  <si>
    <t>Louisiana</t>
  </si>
  <si>
    <t>Hut 8 Corp. Form 10-K FY2025 (FYE 31-Dec-2025), Item 1 Business - Exhibit 1 (assets under management) and Exhibit 2 (assets under development and construction), as of 31-Dec-2025. https://www.sec.gov/Archives/edgar/data/1964789/000110465926019392/hut-20251231x10k.htm</t>
  </si>
  <si>
    <t>330 MW of utility capacity being commercialized</t>
  </si>
  <si>
    <t>0 MW - stage classified as 'Construction' as of 31-Dec-2025</t>
  </si>
  <si>
    <t>245 MW under a 15-year AI data center lease with total contract value of $7.0 billion</t>
  </si>
  <si>
    <t>Hut 8 Corp. Form 8-K Ex-99.1, 17-Dec-2025, 'Hut 8 Signs 15-Year, 245 MW AI Data Center Lease'. https://www.sec.gov/Archives/edgar/data/1964789/000110465925122052/hut-20251217xex99d1.htm</t>
  </si>
  <si>
    <t>Utility capacity 330 MW vs 245 MW leased implies approx. 85 MW uncommitted at the site (DERIVED - not stated as such)</t>
  </si>
  <si>
    <t>Hut 8 Corp. Form 10-K FY2025 (FYE 31-Dec-2025), Item 1 Business - Exhibit 1 (assets under management) and Exhibit 2 (assets under development and construction), as of 31-Dec-2025. https://www.sec.gov/Archives/edgar/data/1964789/000110465926019392/hut-20251231x10k.htm ; Hut 8 Corp. Form 8-K Ex-99.1, 17-Dec-2025, 'Hut 8 Signs 15-Year, 245 MW AI Data Center Lease'. https://www.sec.gov/Archives/edgar/data/1964789/000110465925122052/hut-20251217xex99d1.htm</t>
  </si>
  <si>
    <t>17-Dec-2025: 15-year, 245 MW lease signed. Q2 CY2027: targeted initial delivery and commissioning</t>
  </si>
  <si>
    <t>Hut 8 Corp. Form 8-K Ex-99.1, 17-Dec-2025, 'Hut 8 Signs 15-Year, 245 MW AI Data Center Lease'. https://www.sec.gov/Archives/edgar/data/1964789/000110465925122052/hut-20251217xex99d1.htm ; Hut 8 Corp. Form 10-K FY2025 (FYE 31-Dec-2025), Item 1 Business - Exhibit 1 (assets under management) and Exhibit 2 (assets under development and construction), as of 31-Dec-2025. https://www.sec.gov/Archives/edgar/data/1964789/000110465926019392/hut-20251231x10k.htm</t>
  </si>
  <si>
    <t>UNDER CONSTRUCTION - a transaction advanced 330 MW of utility capacity from Energy Capacity Under Development into Energy Capacity Under Construction. Specific interconnection approval stage not disclosed</t>
  </si>
  <si>
    <t>Not disclosed in official sources reviewed (counterparty not named in the cited 8-K headline)</t>
  </si>
  <si>
    <t>Hut 8's disclosure taxonomy is unusually explicit: Under Exclusivity -&gt; Under Development -&gt; Under Construction. Use it to grade pipeline quality.</t>
  </si>
  <si>
    <t>Vega</t>
  </si>
  <si>
    <t>Texas Panhandle</t>
  </si>
  <si>
    <t>Wind + ERCOT grid</t>
  </si>
  <si>
    <t>205 MW total capacity, 100% Hut 8 owned</t>
  </si>
  <si>
    <t>Under construction as of 31-Dec-2025 (205 MW of ASIC Colocation capacity)</t>
  </si>
  <si>
    <t>205 MW of ASIC Colocation capacity expected to host miners for BITMAIN</t>
  </si>
  <si>
    <t>Under construction as of 31-Dec-2025</t>
  </si>
  <si>
    <t>ENERGY CAPACITY UNDER MANAGEMENT (Exhibit 1) - listed among assets under management, application ASIC compute</t>
  </si>
  <si>
    <t>BITMAIN (ASIC colocation)</t>
  </si>
  <si>
    <t>DISCREPANCY RESOLVED - NO DOUBLE COUNT. Exhibit 4 is a quarterly time series, not a point-in-time snapshot. Vega's 205 MW sat in 'Energy Capacity Under Construction' as of Q1 2025, then shows '-' in Q2 and Q3 2025 because it was commercialised and moved into Energy Capacity Under Management (Exhibit 1). The 330 MW shown in the Q4 2025 column of that same row is River Bend, not Vega. Read Exhibit 4 columns as Q1/Q2/Q3/Q4 2025.</t>
  </si>
  <si>
    <t>King Mountain</t>
  </si>
  <si>
    <t>McCamey, Texas</t>
  </si>
  <si>
    <t>280 MW total capacity; Hut 8 ownership 50.0%</t>
  </si>
  <si>
    <t>Operating - ASIC compute</t>
  </si>
  <si>
    <t>ENERGY CAPACITY UNDER MANAGEMENT (Exhibit 1)</t>
  </si>
  <si>
    <t>Largest ERCOT-connected asset in Hut 8's operating fleet but only 50% owned.</t>
  </si>
  <si>
    <t>Salt Creek</t>
  </si>
  <si>
    <t>Orla, Texas</t>
  </si>
  <si>
    <t>ERCOT grid</t>
  </si>
  <si>
    <t>63 MW total capacity, 100% owned</t>
  </si>
  <si>
    <t>Operating - one of three Bitcoin Mining sites comprising part of Hut 8's 180 MW of Bitcoin Mining capacity (with Alpha and Medicine Hat)</t>
  </si>
  <si>
    <t>Self-mining</t>
  </si>
  <si>
    <t>Alpha</t>
  </si>
  <si>
    <t>Niagara Falls, New York</t>
  </si>
  <si>
    <t>NYISO grid</t>
  </si>
  <si>
    <t>50 MW total capacity, 100% owned</t>
  </si>
  <si>
    <t>Medicine Hat</t>
  </si>
  <si>
    <t>Medicine Hat, Alberta, Canada</t>
  </si>
  <si>
    <t>AESO (Alberta Electric System Operator)</t>
  </si>
  <si>
    <t>CCGT + AESO grid</t>
  </si>
  <si>
    <t>67 MW total capacity, 100% owned</t>
  </si>
  <si>
    <t>Drumheller</t>
  </si>
  <si>
    <t>Drumheller, Alberta, Canada</t>
  </si>
  <si>
    <t>AESO</t>
  </si>
  <si>
    <t>AESO grid</t>
  </si>
  <si>
    <t>42 MW total capacity, 100% owned</t>
  </si>
  <si>
    <t>NON-OPERATIONAL as of 31-Dec-2025</t>
  </si>
  <si>
    <t>ENERGY CAPACITY UNDER MANAGEMENT (Exhibit 1), application listed as 'Non-operational'</t>
  </si>
  <si>
    <t>None</t>
  </si>
  <si>
    <t>Potential re-energization optionality; nothing disclosed.</t>
  </si>
  <si>
    <t>Site 02</t>
  </si>
  <si>
    <t>Texas (site not named)</t>
  </si>
  <si>
    <t>1,000 MW total utility capacity</t>
  </si>
  <si>
    <t>0 MW - application listed as 'TBD'</t>
  </si>
  <si>
    <t>DEVELOPMENT - 'Sites where we are actively investing in development and commercialization by executing definitive land and/or power agreements, advancing site design and infrastructure buildout, and engaging with prospective customers'</t>
  </si>
  <si>
    <t>None - TBD</t>
  </si>
  <si>
    <t>The largest single line in Hut 8's development book. Site name withheld.</t>
  </si>
  <si>
    <t>Site 03</t>
  </si>
  <si>
    <t>180 MW total utility capacity</t>
  </si>
  <si>
    <t>0 MW - TBD</t>
  </si>
  <si>
    <t>DEVELOPMENT</t>
  </si>
  <si>
    <t>Site 04</t>
  </si>
  <si>
    <t>Illinois (site not named)</t>
  </si>
  <si>
    <t>PJM or MISO - NOT DETERMINABLE from the filing</t>
  </si>
  <si>
    <t>50 MW total utility capacity</t>
  </si>
  <si>
    <t>Illinois spans both PJM and MISO footprints; without the site location the RTO cannot be determined. Do not assume.</t>
  </si>
  <si>
    <t>Portfolio pipeline (unallocated)</t>
  </si>
  <si>
    <t>United States and Canada</t>
  </si>
  <si>
    <t>Development pipeline of approx. 8,500 MW as of 31-Dec-2025. Of which Energy Capacity Under Exclusivity: 1,255 MW (or 1,755 MW on the broader measure) at 31-Dec-2025</t>
  </si>
  <si>
    <t>UNDER EXCLUSIVITY - 'sites where we have secured a clear path to ownership through either (i) an exclusivity agreement that prevents the sale of designated land and power capacity to another party or (ii) a TENDERED INTERCONNECTION AGREEMENT, confirming a viable path to securing power and infrastructure for deployment'</t>
  </si>
  <si>
    <t>'Tendered interconnection agreement' is the specific grid milestone Hut 8 uses to qualify exclusivity capacity - the most explicit queue-stage language of any name in this sheet after Galaxy. Energy Capacity Under Management at 31-Dec-2025 was 1,020 MW across 15 sites; four Ontario gas plants totalling 310 MW were divested in Q1 2026.</t>
  </si>
  <si>
    <t>Riot Platforms</t>
  </si>
  <si>
    <t>RIOT</t>
  </si>
  <si>
    <t>Corsicana</t>
  </si>
  <si>
    <t>Corsicana, Navarro County, Texas</t>
  </si>
  <si>
    <t>Riot Platforms, Inc. Form 10-K FY2025 (FYE 31-Dec-2025). https://www.sec.gov/Archives/edgar/data/1167419/000110465926022322/riot-20251231x10k.htm</t>
  </si>
  <si>
    <t>Retail power via a requirements contract with MEMS Industrial Supply, invoiced at the ERCOT North Load Zone market price plus associated charges; Corsicana PPA covers 25 MW</t>
  </si>
  <si>
    <t>1.0 GW of fully approved capacity with direct access to 1 GW of high-voltage capacity</t>
  </si>
  <si>
    <t>Riot Platforms, Inc. Form 10-K FY2025 (FYE 31-Dec-2025). https://www.sec.gov/Archives/edgar/data/1167419/000110465926022322/riot-20251231x10k.htm ; Riot Platforms, Inc. Form 8-K Ex-99.2, Q1 2026 Earnings Presentation, 30-Apr-2026, slides 7, 8, 9, 14, 18, 22. https://www.sec.gov/Archives/edgar/data/0001167419/000110465926052943/riot-20260430xex99d2.htm</t>
  </si>
  <si>
    <t>400 MW currently equipped/developed for bitcoin mining</t>
  </si>
  <si>
    <t>Riot Platforms, Inc. Form 10-Q for quarter ended 31-Mar-2026. https://www.sec.gov/Archives/edgar/data/1167419/000110465926053120/riot-20260331x10q.htm</t>
  </si>
  <si>
    <t>0 MW leased as of Q1 2026</t>
  </si>
  <si>
    <t>Riot Platforms, Inc. Form 8-K Ex-99.2, Q1 2026 Earnings Presentation, 30-Apr-2026, slides 7, 8, 9, 14, 18, 22. https://www.sec.gov/Archives/edgar/data/0001167419/000110465926052943/riot-20260430xex99d2.htm</t>
  </si>
  <si>
    <t>Up to 756 MW total IT capacity planned across 4.5 buildings (168 MW IT capacity per building)</t>
  </si>
  <si>
    <t>Jan-2025: strategic pivot to evaluate HPC at Corsicana announced; 600 MW Phase II bitcoin expansion halted. Q1 CY2026: core &amp; shell development commenced on the first 168 MW building, on schedule. Long-lead items being secured for full buildout</t>
  </si>
  <si>
    <t>APPROVED - 1 GW described as 'fully approved capacity' with direct access to 1 GW of high-voltage capacity. Riot does not disclose ERCOT LLIS study status separately</t>
  </si>
  <si>
    <t>None contracted - in commercial-stage lease discussions</t>
  </si>
  <si>
    <t>Corsicana is the single largest uncontracted approved block in the peer group. Riot's own deck shows a 1 GW+ critical IT leasing opportunity and a fully developed portfolio NOI range of $1.6-2.1bn.</t>
  </si>
  <si>
    <t>Rockdale</t>
  </si>
  <si>
    <t>Rockdale, Milam County, Texas (land acquired fee simple Jan-2026)</t>
  </si>
  <si>
    <t>Rockdale PPA provides for delivery of 345 MW; interconnection construction was completed during the year ended 31-Dec-2024</t>
  </si>
  <si>
    <t>700 MW of Riot's 2.0 GW utility power portfolio is at Rockdale</t>
  </si>
  <si>
    <t>5 MW of critical IT delivered and revenue-generating as of 31-Mar-2026</t>
  </si>
  <si>
    <t>50 MW critical IT contracted to AMD (25 MW initial lease + 25 MW expansion option exercised Apr-2026), 10-year term with three 5-year extension options; total contract revenue $636m, total estimated NOI $510m</t>
  </si>
  <si>
    <t>AMD retains options for a further 150 MW: a 50 MW expansion option plus a 100 MW additional option (which replaced AMD's prior ROFR), for total potential AMD capacity of 200 MW. The 100 MW option is contingent on power availability</t>
  </si>
  <si>
    <t>Jan-2026: land acquisition and first AMD lease; initial 5 MW deployed. May-2026: remaining 20 MW of the initial 25 MW (full RFS). Nov-2026: Phase 3 +10 MW. May-2027: Phase 4 +15 MW (full 50 MW deployment)</t>
  </si>
  <si>
    <t>ENERGIZED - interconnection construction completed in 2024; site operating</t>
  </si>
  <si>
    <t>AMD (10-year lease, three 5-year extension options)</t>
  </si>
  <si>
    <t>Capex approx. $3.5m per MW across the 50 MW ($172.7m). Q1 2026 operating lease gross margin 90.8%. Deployment is in Buildings F and G.</t>
  </si>
  <si>
    <t>Kentucky</t>
  </si>
  <si>
    <t>Kentucky (specific site not named in the cited presentation)</t>
  </si>
  <si>
    <t>Not disclosed in official sources reviewed - Kentucky spans PJM, MISO and TVA footprints; not determinable from the filing</t>
  </si>
  <si>
    <t>300 MW of available total power capacity</t>
  </si>
  <si>
    <t>Miner fleet upgrades and growth in Kentucky drive targeted hash rate growth to 45.0 EH/s by Q4 CY2026</t>
  </si>
  <si>
    <t>None - bitcoin mining</t>
  </si>
  <si>
    <t>Riot's total available utility power capacity is 2.0 GW: 1,700 MW in Texas and 300 MW in Kentucky.</t>
  </si>
  <si>
    <t>Bitdeer</t>
  </si>
  <si>
    <t>BTDR</t>
  </si>
  <si>
    <t>Massillon</t>
  </si>
  <si>
    <t>Massillon, Ohio</t>
  </si>
  <si>
    <t>Bitdeer Technologies Group monthly Production and Operations Updates (furnished to SEC / IR site), Jul-Dec 2025. https://ir.bitdeer.com/news-releases</t>
  </si>
  <si>
    <t>PJM (analyst mapping - not stated in the cited disclosure)</t>
  </si>
  <si>
    <t>221 MW site</t>
  </si>
  <si>
    <t>21 MW targeted for energization by end Oct-2025; remaining 200 MW phased by end Q1 CY2026</t>
  </si>
  <si>
    <t>End Oct-2025: 21 MW. End Q1 CY2026: remaining 200 MW phased. Nov-2025: fire damaged approx. 26 MW of capacity, delaying planned energization of that capacity to an expected date by end Q3 CY2026</t>
  </si>
  <si>
    <t>Bitdeer Technologies Group monthly Production and Operations Updates (furnished to SEC / IR site), Jul-Dec 2025. https://ir.bitdeer.com/news-releases ; Bitdeer Technologies Group Form 20-F FY2025, Item 3.D Risk Factors / Item 4 Business. https://www.sec.gov/Archives/edgar/data/0001899123/000121390026049770/ea0282628-20f_bitdeer.htm</t>
  </si>
  <si>
    <t>The 26 MW fire delay is a DIRECT READ of the FY2025 20-F risk factors and is reliable. The 221 MW / 21 MW / 200 MW figures came from a search index summary of Bitdeer's monthly operations updates and were NOT directly read - re-verify against the specific monthly update before publication.</t>
  </si>
  <si>
    <t>Clarington</t>
  </si>
  <si>
    <t>Clarington, Ohio</t>
  </si>
  <si>
    <t>'Local utility' - not named in the cited disclosure</t>
  </si>
  <si>
    <t>570 MW under contract with the local utility</t>
  </si>
  <si>
    <t>End Q3 CY2026: power available. Q2 CY2027: power and data center infrastructure to be completed</t>
  </si>
  <si>
    <t>UNDER CONTRACT WITH LOCAL UTILITY - no interconnection approval stage disclosed</t>
  </si>
  <si>
    <t>RE-VERIFY. Bitdeer's largest single US development block; figures sourced from a search index summary of monthly operations updates, not a direct read.</t>
  </si>
  <si>
    <t>Rockdale, Texas (distinct from Riot's Rockdale facility)</t>
  </si>
  <si>
    <t>ERCOT (analyst mapping - not stated in the cited disclosure)</t>
  </si>
  <si>
    <t>100 MW hydro-cooling conversion</t>
  </si>
  <si>
    <t>100 MW fully energized</t>
  </si>
  <si>
    <t>Hydro-cooling conversion fully energized during 2025</t>
  </si>
  <si>
    <t>ENERGIZED</t>
  </si>
  <si>
    <t>RE-VERIFY against the specific monthly operations update.</t>
  </si>
  <si>
    <t>Tydal</t>
  </si>
  <si>
    <t>Tydal, Norway</t>
  </si>
  <si>
    <t>Bitdeer Technologies Group Form 20-F FY2025, Item 3.D Risk Factors / Item 4 Business. https://www.sec.gov/Archives/edgar/data/0001899123/000121390026049770/ea0282628-20f_bitdeer.htm</t>
  </si>
  <si>
    <t>Statnett / Nordic market (analyst mapping - not stated in the filing)</t>
  </si>
  <si>
    <t>175 MW</t>
  </si>
  <si>
    <t>Construction work completed</t>
  </si>
  <si>
    <t>Construction complete; conversion to AI datacenter initiated</t>
  </si>
  <si>
    <t>Bitdeer Technologies Group Form 20-F FY2025, Item 3.D Risk Factors / Item 4 Business. https://www.sec.gov/Archives/edgar/data/0001899123/000121390026049770/ea0282628-20f_bitdeer.htm ; Bitdeer Technologies Group monthly Production and Operations Updates (furnished to SEC / IR site), Jul-Dec 2025. https://ir.bitdeer.com/news-releases</t>
  </si>
  <si>
    <t>ENERGIZED / CONSTRUCTION COMPLETE</t>
  </si>
  <si>
    <t>Acquired via the Norway Acquisition (Troll Housing AS and Tydal Data Center AS), closed 15-Apr-2024, per the 20-F definitions. The 175 MW figure needs re-verification.</t>
  </si>
  <si>
    <t>Knoxville</t>
  </si>
  <si>
    <t>Knoxville, Tennessee</t>
  </si>
  <si>
    <t>Not disclosed in official sources reviewed - MW not stated in the passage read</t>
  </si>
  <si>
    <t>Conversion from bitcoin mining datacenter into AI datacenter initiated; timeline not disclosed in the passage read</t>
  </si>
  <si>
    <t>The 20-F names Tydal (Norway), Knoxville (Tennessee) and Wenatchee (Washington) as sites where AI conversion has been initiated, noting significant capex and complex engineering.</t>
  </si>
  <si>
    <t>Wenatchee</t>
  </si>
  <si>
    <t>Wenatchee, Washington</t>
  </si>
  <si>
    <t>Conversion into AI datacenter initiated; timeline not disclosed in the passage read</t>
  </si>
  <si>
    <t>COMPANY ROLL-UP - counts and disclosed portfolio totals</t>
  </si>
  <si>
    <t>Sites in Sheet</t>
  </si>
  <si>
    <t>Portfolio Total as Disclosed by the Company</t>
  </si>
  <si>
    <t>Source</t>
  </si>
  <si>
    <t>Primary Grid Markets</t>
  </si>
  <si>
    <t>Rows Needing Re-Verification</t>
  </si>
  <si>
    <t>Disclosure Quality Note</t>
  </si>
  <si>
    <t>2,910 MW of grid-connected power secured, of which 2,750 MW (95%) in Texas; 5 GW global secured-power pipeline</t>
  </si>
  <si>
    <t>IREN Ltd Form 10-K FY2025 (FYE 30-Jun-2025), filed 28-Aug-2025, Item 1 Business / Item 2 Properties. https://www.sec.gov/Archives/edgar/data/1878848/000187884825000063/iren-20250630.htm ; IREN Ltd, 'Business Update and Q3 FY26 Results', 8-K exhibit, 7-May-2026, pp.1-2. https://www.sec.gov/Archives/edgar/data/1878848/000187884826000025/irenreportsq3fy26results.htm</t>
  </si>
  <si>
    <t>ERCOT; BC Hydro (Canada); Spain</t>
  </si>
  <si>
    <t>Site-level MW is disclosed in a property table but the company reports progress in company-wide capacity buckets (480 MW 2026, 1,210 MW 2027). Kiowa MW never quantified in a filing.</t>
  </si>
  <si>
    <t>4.2 GW of capacity across 10 sites at various stages of interconnection; 600 MW of HPC under development across two sites; 207 MW operating; approx. 3.4 GW pipeline across eight sites</t>
  </si>
  <si>
    <t>ERCOT; PJM (Ulysses, Ohio)</t>
  </si>
  <si>
    <t>BEST-IN-CLASS. Cipher states interconnection approval MW and its conditionality site by site, and separates 'approval' from 'targeted capacity'. Use Cipher's language as the benchmark.</t>
  </si>
  <si>
    <t>522 MW of contracted critical IT load across Lake Mariner and Abernathy; targets contracting 250-500 MW of new critical IT annually</t>
  </si>
  <si>
    <t>NYISO (Zone A); SPP</t>
  </si>
  <si>
    <t>Explicitly flags the NYISO approval gate at Lake Mariner (500 MW now, 750 MW subject to further approval) and that Cayuga interconnection is still in negotiation. Honest and specific.</t>
  </si>
  <si>
    <t>approx. 1,410 MW of contracted critical IT across five campuses (approx. $36.2bn contracted revenue); approx. 1.5 GW contracted and operating or under construction; over 3 GW active pipeline; more than 5 GW extended pipeline</t>
  </si>
  <si>
    <t>Not disclosed by campus</t>
  </si>
  <si>
    <t>WEAKEST GRID DISCLOSURE in the group. APLD reports critical IT load only, names no ISO/RTO or utility per campus, and withholds the location of three of five campuses. Gross MW and approval stage are not derivable.</t>
  </si>
  <si>
    <t>1,630 MW total ERCOT-approved power capacity at Helios; 800 MW gross leased (526 MW critical IT); 3,400+ MW total potential; +1,800 MW under study</t>
  </si>
  <si>
    <t>BEST-IN-CLASS on grid process. Names the LLIS study elements completed, the ERCOT approval, the utility service agreement (AEP Texas) and the transmission provider (WETT). Single-campus, so no aggregation ambiguity.</t>
  </si>
  <si>
    <t>approx. 1.4 GW gross utility power capacity (1,426 MW in the utility table) across ten data centers in seven states; approx. 920 MW of total leasable customer power capacity</t>
  </si>
  <si>
    <t>ERCOT; TVA; SPP; MISO; SERC</t>
  </si>
  <si>
    <t>Discloses a clean gross-MW-by-utility table - unique in this group - but no interconnection queue stage and no site-level critical IT split. ISO/RTO must be inferred from the named utility.</t>
  </si>
  <si>
    <t>1,020 MW Energy Capacity Under Management across 15 sites; 1,560 MW under development and construction; approx. 8,500 MW total development pipeline</t>
  </si>
  <si>
    <t>ERCOT; NYISO; AESO; Louisiana (not named)</t>
  </si>
  <si>
    <t>Best-in-class pipeline TAXONOMY (Under Exclusivity / Under Development / Under Construction), and defines exclusivity partly by a 'tendered interconnection agreement'. But three of four development sites are unnamed.</t>
  </si>
  <si>
    <t>2.0 GW of utility power in the portfolio: 1,700 MW in Texas (1,000 MW Corsicana + 700 MW Rockdale) and 300 MW in Kentucky</t>
  </si>
  <si>
    <t>ERCOT; Kentucky (RTO not disclosed)</t>
  </si>
  <si>
    <t>Clear MW and lease-economics disclosure, including capex per MW and NOI. Does not disclose ERCOT LLIS status; 'fully approved' is the company's own characterisation of Corsicana.</t>
  </si>
  <si>
    <t>Not aggregated in the sources reviewed</t>
  </si>
  <si>
    <t>ERCOT; PJM (Ohio); Nordic (Norway)</t>
  </si>
  <si>
    <t>MOST OF THE BITDEER ROWS REQUIRE RE-VERIFICATION. Site MW figures appear in monthly operations updates rather than a consolidated 20-F property table, and were not directly read for this build.</t>
  </si>
  <si>
    <t>Total site rows</t>
  </si>
  <si>
    <t>ALL</t>
  </si>
  <si>
    <t>METHODOLOGY, SOURCE LOG AND KNOWN LIMITATIONS</t>
  </si>
  <si>
    <t>SECTION</t>
  </si>
  <si>
    <t>DETAIL</t>
  </si>
  <si>
    <t>Sourcing standard</t>
  </si>
  <si>
    <t>Only SEC-filed or SEC-furnished documents and company investor presentations filed as 8-K exhibits were used: Forms 10-K, 10-Q, 20-F, 8-K and their exhibits. No news articles, no broker research, no trade press, no third-party data centre databases, no company blog posts not filed with the SEC.</t>
  </si>
  <si>
    <t>Corporate websites</t>
  </si>
  <si>
    <t>EXCLUDED as a primary source. Where a company website carries a figure not found in a filing (for example IREN's 1,600 MW Oklahoma campus page), the figure has been left out and the exclusion noted in the Analyst Notes column.</t>
  </si>
  <si>
    <t>Regulatory dockets</t>
  </si>
  <si>
    <t>No ERCOT, PJM, MISO, SPP or NYISO queue records or state PUC dockets were pulled for this build. Grid-approval status reflects only what the companies themselves disclosed. Where a company describes the specific study completed (Galaxy's Large Load Interconnection Study) or the specific instrument executed (Cipher's AEP direct interconnection agreement, Hut 8's tendered interconnection agreement) that language is quoted verbatim.</t>
  </si>
  <si>
    <t>Gaps</t>
  </si>
  <si>
    <t>Left blank-equivalent as 'Not disclosed in official sources reviewed'. No figure has been estimated, back-solved or carried over from a peer.</t>
  </si>
  <si>
    <t>Derived figures</t>
  </si>
  <si>
    <t>One only: IREN Mackenzie at approx. 80 MW, arithmetic from the 160 MW British Columbia total less Prince George (50 MW) and Canal Flats (30 MW). Flagged DERIVED in orange in the Verification Status column. Do not publish without confirming against the FY25 10-K property table.</t>
  </si>
  <si>
    <t>Units warning</t>
  </si>
  <si>
    <t>CRITICAL. Companies mix three different measures: gross utility MW (Core Scientific, Hut 8, Riot), ERCOT-approved interconnection MW (Cipher, Galaxy), and critical IT load MW (Applied Digital, TeraWulf, and partially Galaxy and Riot). These are NOT comparable without a PUE / gross-to-critical adjustment. Galaxy is the only name that discloses both for the same capacity: 526 MW critical IT within 800 MW gross, i.e. a gross-to-critical ratio of approximately 1.52x at Helios.</t>
  </si>
  <si>
    <t>Verification Status key</t>
  </si>
  <si>
    <t>'Verified - direct read of cited filing' = the cell content was read directly from the filing text during this build. 'RE-VERIFY before publication' = the figure came from a search index summary of the cited document rather than a direct read of the passage; treat as unconfirmed. 'DERIVED' = arithmetic, not disclosed.</t>
  </si>
  <si>
    <t>Known open items</t>
  </si>
  <si>
    <t>The three original discrepancies are now RESOLVED - see the 'Discrepancy Log' tab. Remaining open items: 1) All Bitdeer site MW figures still need a direct read. 2) IREN Sweetwater 2 and the FY25 property table rows. 3) IREN Kiowa MW is unquantified in any filing located. 4) NEW - Cipher Barber Lake acreage reads 250 acres in the FY25 10-K versus 587 acres in the Nov-2025 deck. 5) NEW - Cipher Stingray energization reads 1H CY2026 in the FY25 10-K versus Q4 CY2026 in the Nov-2025 deck.</t>
  </si>
  <si>
    <t>Corporate action</t>
  </si>
  <si>
    <t>Cipher Mining Inc. now files as CIPHER DIGITAL INC. The Q1 2026 10-Q was filed under that name. Historic filings cited here remain under Cipher Mining Inc. Update your ticker/entity mapping accordingly.</t>
  </si>
  <si>
    <t>Coverage</t>
  </si>
  <si>
    <t>Nine issuers: IREN, Cipher Mining, TeraWulf, Applied Digital, Galaxy Digital, Core Scientific, Hut 8, Riot Platforms and Bitdeer. Not covered in this build: Bitfarms, HIVE Digital, Soluna, Cango, Greenidge, Stronghold (acquired), Terawulf JV minority partners, and non-US-listed operators.</t>
  </si>
  <si>
    <t>As-of dates</t>
  </si>
  <si>
    <t>Filings carry different period ends: IREN FY25 10-K = 30-Jun-2025 with a 31-Mar-2026 8-K overlay; Cipher, TeraWulf, Core Scientific, Hut 8, Riot and Bitdeer = 31-Dec-2025 with Q1 2026 overlays where cited; Applied Digital = 31-May-2026; Galaxy = 31-Mar-2026. Do not treat the sheet as a single point-in-time snapshot.</t>
  </si>
  <si>
    <t>FULL SOURCE LOG</t>
  </si>
  <si>
    <t>Every document cited in this workbook</t>
  </si>
  <si>
    <t>APLD_10K</t>
  </si>
  <si>
    <t>BTDR_20F</t>
  </si>
  <si>
    <t>BTDR_OPS</t>
  </si>
  <si>
    <t>CIFR_10K</t>
  </si>
  <si>
    <t>CIFR_10Q</t>
  </si>
  <si>
    <t>Cipher Digital Inc. Form 10-Q for quarter ended 31-Mar-2026. https://www.sec.gov/Archives/edgar/data/0001819989/000181998926000028/cifr-20260331.htm</t>
  </si>
  <si>
    <t>CIFR_8K_DECK</t>
  </si>
  <si>
    <t>CIFR_8K_PR</t>
  </si>
  <si>
    <t>Cipher Mining Inc. Form 8-K Ex-99.1, 3-Nov-2025, 'Cipher Mining Provides Third Quarter 2025 Business Update'. https://www.sec.gov/Archives/edgar/data/1819989/000181998925000110/nov3_earningspressreleasex.htm</t>
  </si>
  <si>
    <t>CORZ_10K</t>
  </si>
  <si>
    <t>CORZ_10K24</t>
  </si>
  <si>
    <t>Core Scientific, Inc. Form 10-K FY2024 (FYE 31-Dec-2024), filed 27-Feb-2025, gross utility power capacity by facility/utility table. https://www.sec.gov/Archives/edgar/data/1839341/000162828025008302/core-20241231.htm</t>
  </si>
  <si>
    <t>CORZ_MUS</t>
  </si>
  <si>
    <t>CORZ_Q1</t>
  </si>
  <si>
    <t>GLXY_8K</t>
  </si>
  <si>
    <t>GLXY_Q1</t>
  </si>
  <si>
    <t>HUT_10K</t>
  </si>
  <si>
    <t>HUT_RB</t>
  </si>
  <si>
    <t>IREN_10K</t>
  </si>
  <si>
    <t>IREN_Q3</t>
  </si>
  <si>
    <t>IREN_SW</t>
  </si>
  <si>
    <t>IREN Ltd press release, Sweetwater, 8-K exhibit. https://www.sec.gov/Archives/edgar/data/1878848/000187884825000013/irenpressreleasesweetwat.htm</t>
  </si>
  <si>
    <t>RIOT_10K</t>
  </si>
  <si>
    <t>RIOT_10Q</t>
  </si>
  <si>
    <t>RIOT_Q1</t>
  </si>
  <si>
    <t>WULF_10K</t>
  </si>
  <si>
    <t>DISCREPANCY LOG - RESOLUTIONS AND EVIDENCE</t>
  </si>
  <si>
    <t>#</t>
  </si>
  <si>
    <t>Issuer / Site</t>
  </si>
  <si>
    <t>The Discrepancy</t>
  </si>
  <si>
    <t>Resolution</t>
  </si>
  <si>
    <t>Evidence Relied On</t>
  </si>
  <si>
    <t>Status</t>
  </si>
  <si>
    <t>Cipher Mining - Black Pearl (AWS lease date)</t>
  </si>
  <si>
    <t>The FY2025 10-K dates the 15-year AWS lease to October 2025 in the dedicated 'Amazon Data Center Lease' disclosure (Item 1, HPC Leases) but to November 2025 in the Properties/facility narrative of the same filing.</t>
  </si>
  <si>
    <t>USE OCTOBER 2025 as the execution date. November 2025 is the ANNOUNCEMENT date. The 3-Nov-2025 8-K press release states Cipher 'today announced' the lease and groups it under a Third Quarter Growth Update - it reports, rather than dates, the agreement. The dedicated lease-disclosure section is the purpose-built, governing statement; the Properties narrative is a drafting inconsistency conflating execution with announcement.</t>
  </si>
  <si>
    <t>FY2025 10-K lines under 'Amazon Data Center Lease' and under 'Black Pearl Facility'; 8-K Ex-99.1 and Ex-99.2 dated 3-Nov-2025.</t>
  </si>
  <si>
    <t>RESOLVED</t>
  </si>
  <si>
    <t>Core Scientific - Cottonwood / Pecos, Texas</t>
  </si>
  <si>
    <t>The FY2025 10-K utility table shows 300 MW of gross utility capacity at Pecos via Texas New-Mexico Power, while a Q1 2025 8-K exhibit references a total ERCOT power allocation of 250 MW at Cottonwood.</t>
  </si>
  <si>
    <t>NOT A CONFLICT - A GENUINE YEAR-OVER-YEAR INCREASE. The FY2024 10-K utility table shows 'Texas New-Mexico Power | 253 | Pecos, Texas ("Cottonwood")'. Capacity rose from 253 MW at 31-Dec-2024 to 300 MW at 31-Dec-2025, an increase of 47 MW during calendar 2025. The 250 MW referenced in Q1 2025 is the rounded FY2024 figure and was accurate then. Both figures are correct for their respective dates - date-stamp whichever you publish.</t>
  </si>
  <si>
    <t>FY2024 10-K utility table (253 MW) vs FY2025 10-K utility table (300 MW). Cross-check: the FY2024 table sums to 1,317 MW, matching the 10-K's stated 'approximately 1,317 MW of contracted power capacity as of December 31, 2024'.</t>
  </si>
  <si>
    <t>Hut 8 - Vega</t>
  </si>
  <si>
    <t>Vega appears at 205 MW in Exhibit 1 (Energy Capacity Under Management, as of 31-Dec-2025) and 205 MW also appears in the Energy Capacity Under Construction row of Exhibit 4 - raising a possible double count.</t>
  </si>
  <si>
    <t>NO DOUBLE COUNT. Exhibit 4 is a QUARTERLY TIME SERIES (columns Q1 2025 / Q2 2025 / Q3 2025 / Q4 2025), not a point-in-time snapshot. The 205 MW sits in the Q1 2025 column only; Q2 and Q3 2025 show '-' because Vega was commercialised and moved out of construction into Energy Capacity Under Management. The 330 MW in the Q4 2025 column of that row is River Bend, not Vega.</t>
  </si>
  <si>
    <t>FY2025 10-K Exhibit 4 'Our development pipeline', full column headers and row values; reconciled against Exhibit 1 and Exhibit 2.</t>
  </si>
  <si>
    <t>Cipher Mining - Barber Lake (acreage) [NEW]</t>
  </si>
  <si>
    <t>FY2025 10-K states the facility is being constructed on 250 acres owned by Cipher Barber Lake LLC; the Nov-2025 business update deck states 587 total acres for the Barber Lake site.</t>
  </si>
  <si>
    <t>MOST LIKELY owned-parcel (250 acres) versus total site including optioned/adjacent land (587 acres), consistent with the signed MOU for an additional 500 MW adjacent to the 300 MW site. NOT CONFIRMED by an explicit statement.</t>
  </si>
  <si>
    <t>FY2025 10-K Barber Lake description; 8-K Ex-99.2 dated 3-Nov-2025, Barber Lake slide.</t>
  </si>
  <si>
    <t>OPEN - low materiality</t>
  </si>
  <si>
    <t>Cipher Mining - Stingray (energization date) [NEW]</t>
  </si>
  <si>
    <t>FY2025 10-K (Feb-2026) says energization expected in 1H CY2026; the Nov-2025 deck says Q4 CY2026.</t>
  </si>
  <si>
    <t>USE 1H CY2026 - the 10-K is the later-dated and more authoritative document. Note the unusual direction: guidance was pulled FORWARD roughly two quarters between November and February, which is worth a question on the call.</t>
  </si>
  <si>
    <t>FY2025 10-K Stingray Site description; 8-K Ex-99.2 dated 3-Nov-2025, Stingray slide.</t>
  </si>
  <si>
    <t>OPEN - flag for IR</t>
  </si>
  <si>
    <t>EVIDENCE FOR #2 - Core Scientific gross utility power capacity by utility, FY2024 vs FY2025</t>
  </si>
  <si>
    <t>Utility</t>
  </si>
  <si>
    <t>Facility Location</t>
  </si>
  <si>
    <t>FY2024 (MW)</t>
  </si>
  <si>
    <t>FY2025 (MW)</t>
  </si>
  <si>
    <t>Change (MW)</t>
  </si>
  <si>
    <t>Comment</t>
  </si>
  <si>
    <t>Tennessee Valley Authority</t>
  </si>
  <si>
    <t>Calvert City, Kentucky</t>
  </si>
  <si>
    <t>Unchanged</t>
  </si>
  <si>
    <t>Marble, North Carolina (Marble 1)</t>
  </si>
  <si>
    <t>Marble, North Carolina (Marble 2)</t>
  </si>
  <si>
    <t>Increase</t>
  </si>
  <si>
    <t>Dalton, Georgia (reported as two lines of 53 and 142 MW in FY2024, combined in FY2025)</t>
  </si>
  <si>
    <t>Unchanged; presentation combined</t>
  </si>
  <si>
    <t>Denton / Dallas-Denton, Texas</t>
  </si>
  <si>
    <t>Texas New-Mexico Power</t>
  </si>
  <si>
    <t>Pecos, Texas (Cottonwood)</t>
  </si>
  <si>
    <t>INCREASE - resolves discrepancy #2</t>
  </si>
  <si>
    <t>Oklahoma Gas &amp; Electric</t>
  </si>
  <si>
    <t>Total</t>
  </si>
  <si>
    <t>FY2024 total ties to the 10-K's stated approx. 1,317 MW as of 31-Dec-2024, confirming the table was read correctly</t>
  </si>
  <si>
    <t>Sources</t>
  </si>
  <si>
    <t>Core Scientific, Inc. Form 10-K FY2024 (FYE 31-Dec-2024), filed 27-Feb-2025, gross utility power capacity by facility/utility table. https://www.sec.gov/Archives/edgar/data/1839341/000162828025008302/core-20241231.htm  ||  Core Scientific, Inc. Form 10-K FY2025 (FYE 31-Dec-2025), Item 1 Business - gross utility power capacity by facility/utility table. https://www.sec.gov/Archives/edgar/data/1839341/000162828026013305/core-20251231.htm</t>
  </si>
  <si>
    <t>ERCOT BATCH ZERO AND TEXAS DATA CENTER AUDIT - REGULATORY OVERLAY</t>
  </si>
  <si>
    <t>STATUS AS OF 3-AUG-2026: Governor Abbott directed the PUCT and ERCOT to audit every data center advancing through ERCOT's interconnection process. ERCOT has POSTPONED the Batch Zero transmission-planning study to implement the directive. The 7-Aug-2026 classification notification is no longer expected on schedule and no new date has been given. Every Texas energization timeline in the Site Master tab should be treated as at risk of slipping. ERCOT's large-load queue is now cited at over 474 GW, roughly 90% data centers, versus a record peak demand of 85,508 MW.</t>
  </si>
  <si>
    <t>A. BATCH ZERO TIMELINE</t>
  </si>
  <si>
    <t>Date</t>
  </si>
  <si>
    <t>Milestone</t>
  </si>
  <si>
    <t>Current status</t>
  </si>
  <si>
    <t>2-Jun-2026</t>
  </si>
  <si>
    <t>ERCOT Board adopts PGRR145 (batch application and study process) and NPRR1325 (market rules)</t>
  </si>
  <si>
    <t>Complete</t>
  </si>
  <si>
    <t>18-Jun-2026</t>
  </si>
  <si>
    <t>PUCT approves Batch Zero; rules become final; implementation begins immediately</t>
  </si>
  <si>
    <t>10-Jul-2026</t>
  </si>
  <si>
    <t>Deadline for Interconnecting Large Load Entities to submit Forms W and X and eligibility attestations to their TSP/DSP</t>
  </si>
  <si>
    <t>24-Jul-2026</t>
  </si>
  <si>
    <t>Deadline for Interconnecting TSPs to submit the Batch Zero Load Information Form and dynamic stability study forms to ERCOT</t>
  </si>
  <si>
    <t>7-Aug-2026</t>
  </si>
  <si>
    <t>ERCOT notifies applicants of classification: base load, studied load, or excluded</t>
  </si>
  <si>
    <t>POSTPONED - Batch Zero study paused for the Abbott audit</t>
  </si>
  <si>
    <t>31-Aug-2026</t>
  </si>
  <si>
    <t>Deficiency-cure deadline</t>
  </si>
  <si>
    <t>Uncertain</t>
  </si>
  <si>
    <t>Spring 2027</t>
  </si>
  <si>
    <t>ERCOT provides each Batch Zero large user with the capacity that can reliably be allocated</t>
  </si>
  <si>
    <t>Q2 2027</t>
  </si>
  <si>
    <t>Deadline for proof of developer commitment: financial security plus site control</t>
  </si>
  <si>
    <t>Summer 2027</t>
  </si>
  <si>
    <t>Applications open for Batch 1</t>
  </si>
  <si>
    <t>Fall 2027</t>
  </si>
  <si>
    <t>Final transmission plan published, allocating load and prescribing grid upgrades</t>
  </si>
  <si>
    <t>ERCOT Trending Topics, 'ERCOT's New Batch Connection Process for Large Electricity Users', 18-Jun-2026. https://www.ercot.com/files/docs/2026/06/18/ERCOT-Trending-Topic-New-Batch-Connection-Process-for-Large-Electricity-Users.pdf  ||  ERCOT, Large Load Integration - Batch Zero Interconnection Study Process. https://www.ercot.com/services/rq/large-load-integration  ||  Office of the Texas Governor, 'Governor Abbott Directs Comprehensive Data Center Audit', 3-Aug-2026. https://gov.texas.gov/news/post/governor-abbott-directs-comprehensive-data-center-audit</t>
  </si>
  <si>
    <t>B. BATCH ZERO CLASSIFICATION FRAMEWORK (ERCOT definitions)</t>
  </si>
  <si>
    <t>Base Load</t>
  </si>
  <si>
    <t>Projects that completed prior Large Load Interconnection Studies (LLIS) meeting defined criteria, projects already included in approved Regional Planning Group (RPG) studies, and several other categories of previously evaluated projects. Capacity allocated from prior work is effectively PRESERVED.</t>
  </si>
  <si>
    <t>BEST OUTCOME</t>
  </si>
  <si>
    <t>Studied Load</t>
  </si>
  <si>
    <t>Projects with some of the study process completed. Allocation is NOT predetermined - it is set by a system-wide study. May receive full requested capacity, a partial allocation, or may need to wait for a subsequent batch.</t>
  </si>
  <si>
    <t>AT RISK</t>
  </si>
  <si>
    <t>Excluded Load</t>
  </si>
  <si>
    <t>Projects that do not qualify as Base Load or Studied Load. Required to wait for a future batch study; Batch 1 applications open Summer 2027.</t>
  </si>
  <si>
    <t>WORST OUTCOME</t>
  </si>
  <si>
    <t>C. TEXAS SITE EXPOSURE - disclosed approval status vs. analyst view of likely Batch Zero classification</t>
  </si>
  <si>
    <t>MW at stake</t>
  </si>
  <si>
    <t>Disclosed grid-approval status (OFFICIAL)</t>
  </si>
  <si>
    <t>Likely classification (ANALYST INFERENCE - not disclosed)</t>
  </si>
  <si>
    <t>Why</t>
  </si>
  <si>
    <t>Source for the disclosed status</t>
  </si>
  <si>
    <t>1,630 MW approved</t>
  </si>
  <si>
    <t>LLIS complete (steady-state and stability studies reviewed by ERCOT); ERCOT approval received Jan-2026; AEP Texas service agreement executed; WETT is transmission provider</t>
  </si>
  <si>
    <t>Base Load - strongest candidate in the group</t>
  </si>
  <si>
    <t>Only issuer that names the completed LLIS study elements. Meets the base-load criterion on its face.</t>
  </si>
  <si>
    <t>Cipher Digital</t>
  </si>
  <si>
    <t>300 MW approved</t>
  </si>
  <si>
    <t>Approvals for 300 MW of interconnection WITHOUT restrictions on load profile; ERCOT market agreements executed</t>
  </si>
  <si>
    <t>Unrestricted approval plus energized substation and construction underway.</t>
  </si>
  <si>
    <t>Received approvals for 300 MW of interconnection; ERCOT market agreements executed; site previously energized for mining</t>
  </si>
  <si>
    <t>Already energized and operating as load; approval in hand.</t>
  </si>
  <si>
    <t>207 MW operating</t>
  </si>
  <si>
    <t>Energized and operating since Nov-2022 under a Luminant PPA</t>
  </si>
  <si>
    <t>Not applicable - existing load, not a new interconnection request</t>
  </si>
  <si>
    <t>Operating since 2022. Batch Zero addresses new and expanded large loads of 75 MW or more.</t>
  </si>
  <si>
    <t>up to 100 MW</t>
  </si>
  <si>
    <t>CONDITIONAL ERCOT interconnection approval of up to 100 MW</t>
  </si>
  <si>
    <t>Base Load or Studied Load - uncertain</t>
  </si>
  <si>
    <t>The word 'conditional' in the 10-K is the swing factor. The Nov-2025 deck language is unqualified; the 10-K is not.</t>
  </si>
  <si>
    <t>up to 70 MW</t>
  </si>
  <si>
    <t>ERCOT interconnection approval of up to 70 MW</t>
  </si>
  <si>
    <t>Unqualified approval language, but note 70 MW sits below the 75 MW Batch Zero threshold unless expanded.</t>
  </si>
  <si>
    <t>1,000 MW</t>
  </si>
  <si>
    <t>Fully executed 1 GW Direct Connect Agreement with AEP, BUT construction proceeds 'in parallel with ERCOT's final review and approval'</t>
  </si>
  <si>
    <t>Studied Load or Excluded - HIGHEST RISK SINGLE BLOCK</t>
  </si>
  <si>
    <t>A utility agreement is not an ERCOT approval. Cipher's own deck footnotes it 'pending ERCOT approval'.</t>
  </si>
  <si>
    <t>McLennan / Mikeska / Milsing</t>
  </si>
  <si>
    <t>1,500 MW combined</t>
  </si>
  <si>
    <t>Targeted capacity only; deck footnote reads 'pending load studies and ERCOT / ERCOT LFL approval'</t>
  </si>
  <si>
    <t>Excluded</t>
  </si>
  <si>
    <t>No study complete and no approval disclosed. Most likely deferred to Batch 1.</t>
  </si>
  <si>
    <t>Company characterises the site as having 1 GW of 'fully approved capacity' with direct access to 1 GW of high-voltage capacity; ERCOT LLIS status not separately disclosed</t>
  </si>
  <si>
    <t>Base Load if approval predates the batch cutoff - UNVERIFIED</t>
  </si>
  <si>
    <t>'Fully approved' is company language, not an ERCOT classification. Largest uncontracted approved block in the peer group.</t>
  </si>
  <si>
    <t>700 MW</t>
  </si>
  <si>
    <t>Interconnection construction completed during FY2024; site energized and operating; Rockdale PPA covers 345 MW</t>
  </si>
  <si>
    <t>Energized existing load with completed interconnection.</t>
  </si>
  <si>
    <t>750 MW</t>
  </si>
  <si>
    <t>Executed grid connection agreement; operating since Apr-2023</t>
  </si>
  <si>
    <t>Energized and operating.</t>
  </si>
  <si>
    <t>Executed grid connection agreement; substation constructed and energized in the quarter ended 31-Mar-2026</t>
  </si>
  <si>
    <t>Connection agreement executed and substation energized - strong evidence of completed prior study work.</t>
  </si>
  <si>
    <t>Signed connection agreement per the FY25 10-K property table</t>
  </si>
  <si>
    <t>Connection agreement signed but no energization or study evidence disclosed.</t>
  </si>
  <si>
    <t>205 MW</t>
  </si>
  <si>
    <t>Listed in Energy Capacity Under Management as of 31-Dec-2025; wind plus ERCOT grid</t>
  </si>
  <si>
    <t>Not applicable - existing managed capacity</t>
  </si>
  <si>
    <t>Already commercialised out of construction into managed capacity.</t>
  </si>
  <si>
    <t>280 MW (50% owned)</t>
  </si>
  <si>
    <t>Listed in Energy Capacity Under Management; wind plus ERCOT grid</t>
  </si>
  <si>
    <t>Operating.</t>
  </si>
  <si>
    <t>63 MW</t>
  </si>
  <si>
    <t>Listed in Energy Capacity Under Management; ERCOT grid</t>
  </si>
  <si>
    <t>Not applicable - below the 75 MW threshold</t>
  </si>
  <si>
    <t>Operating and sub-threshold.</t>
  </si>
  <si>
    <t>Site 02 (Texas, unnamed)</t>
  </si>
  <si>
    <t>Energy Capacity Under Development - definitive land and/or power agreements being executed; site design and infrastructure buildout advancing</t>
  </si>
  <si>
    <t>Studied Load or Excluded</t>
  </si>
  <si>
    <t>Development stage. Hut 8's exclusivity test cites a 'tendered interconnection agreement', which is weaker than an ERCOT approval.</t>
  </si>
  <si>
    <t>Site 03 (Texas, unnamed)</t>
  </si>
  <si>
    <t>180 MW</t>
  </si>
  <si>
    <t>Energy Capacity Under Development</t>
  </si>
  <si>
    <t>Development stage.</t>
  </si>
  <si>
    <t>394 MW gross utility</t>
  </si>
  <si>
    <t>Gross utility capacity via Denton Municipal Electric; no interconnection queue stage disclosed</t>
  </si>
  <si>
    <t>Base Load likely for the energized portion</t>
  </si>
  <si>
    <t>Long-operating site, but CORZ discloses no queue stage, so this inference is weakly grounded.</t>
  </si>
  <si>
    <t>300 MW gross utility</t>
  </si>
  <si>
    <t>Gross utility capacity via Texas New-Mexico Power, up from 253 MW in FY2024; 71 MW energized across Cottonwood 1 and 2</t>
  </si>
  <si>
    <t>Base Load for the energized portion; the 2025 increment less certain</t>
  </si>
  <si>
    <t>The +47 MW added during 2025 may not have completed a prior LLIS.</t>
  </si>
  <si>
    <t>20 MW gross utility</t>
  </si>
  <si>
    <t>Gross utility capacity via Austin Energy</t>
  </si>
  <si>
    <t>Out of scope - below the 75 MW threshold</t>
  </si>
  <si>
    <t>Batch Zero applies to single sites with peak demand above 75 MW.</t>
  </si>
  <si>
    <t>100 MW</t>
  </si>
  <si>
    <t>Hydro-cooling conversion described as fully energized</t>
  </si>
  <si>
    <t>Not applicable - existing energized load</t>
  </si>
  <si>
    <t>Energized. NOTE: this MW figure still requires re-verification.</t>
  </si>
  <si>
    <t>Abernathy</t>
  </si>
  <si>
    <t>168 MW critical IT</t>
  </si>
  <si>
    <t>Located in the Southwest Power Pool (SPP), NOT ERCOT</t>
  </si>
  <si>
    <t>OUT OF SCOPE - not subject to ERCOT Batch Zero</t>
  </si>
  <si>
    <t>A Texas site outside the ERCOT footprint. A genuine differentiator versus every ERCOT-exposed peer.</t>
  </si>
  <si>
    <t>D. TEXAS DATA CENTER AUDIT - THE FIVE VERIFICATION CRITERIA (Abbott directive, 3-Aug-2026)</t>
  </si>
  <si>
    <t>Criterion</t>
  </si>
  <si>
    <t>What must be disclosed</t>
  </si>
  <si>
    <t>Where the miners screen WELL</t>
  </si>
  <si>
    <t>Where the RISK sits</t>
  </si>
  <si>
    <t>Best worked example</t>
  </si>
  <si>
    <t>Financial assistance</t>
  </si>
  <si>
    <t>The extent to which the project pays its own way versus depending on state support, including all state and local tax incentives, grants, abatements or other public financial assistance received or expected to be received.</t>
  </si>
  <si>
    <t>Capital self-sufficiency is well evidenced. Cipher raised approx. $1.2bn net from a $1.3bn convertible offering and paid approx. $554.0m for property and equipment in Q1 2026 off its own balance sheet. Riot funded Q1 2026 growth from operating cash flow and disciplined bitcoin sales without equity dilution. Google backstops the Fluidstack lease with $1.4bn of PRIVATE credit support.</t>
  </si>
  <si>
    <t>DISCLOSURE VOID. A keyword search of Cipher's FY2025 10-K for 'abatement', 'incentive', 'Chapter 312', 'Chapter 313', 'sales tax exemption', 'property tax' and 'ad valorem' returns ZERO relevant hits - the only 'incentive' reference is executive compensation. Sector context: 138 data centers had qualified for the Texas sales-tax exemption as of 27-Jul-2026; the Comptroller audited 20 and found SIX out of compliance. Texas scored the exemption at $3.2bn of forgone revenue over two years. Also unresolved: who pays for the AEP interconnection facility at Colchis.</t>
  </si>
  <si>
    <t>Cipher: strong on self-funding, silent on incentives. Riot: cleanest self-funding narrative in the group.</t>
  </si>
  <si>
    <t>Power demand and self-supply</t>
  </si>
  <si>
    <t>Projected annual and peak electricity consumption, the extent of reliance on the ERCOT grid versus own generation, and any effort or progress to construct or procure on-site generation.</t>
  </si>
  <si>
    <t>Miners have the only proven curtailment record among large loads. Riot took $21.0m of power curtailment credits in Q1 2026 via ERCOT demand response and the 4CP program, driving an all-in cost of power of 3.0 c/kWh. Cipher books power sales revenue - $2.3m in Q3 2025 - from curtailing and reselling. That history maps directly onto the new PCLR flexible-load pathway.</t>
  </si>
  <si>
    <t>Abbott's 10-Jun-2026 directive pressed for facilities to ADD GENERATION, not only load. Most miners are load-only. Cipher's Odessa sits NEXT TO a gas production facility but buys under a Luminant PPA rather than owning generation, and Cipher's own deck labels Black Pearl a front-of-the-meter site. Applied Digital (approx. 1.2 GW with Base Electron) and Hut 8 (CCGT operating history) are better hedged - though APLD's gas is in the Dakotas, not ERCOT.</t>
  </si>
  <si>
    <t>Riot: $21.0m of Q1 2026 curtailment credits. Cipher: $2.3m of Q3 2025 power sales revenue.</t>
  </si>
  <si>
    <t>Water use and cooling technology</t>
  </si>
  <si>
    <t>Projected annual and peak water consumption, anticipated sources of supply, plans to reuse water, and whether cooling is air-cooled, closed-loop or another water-efficient system.</t>
  </si>
  <si>
    <t>Legacy mining halls are air-cooled or closed-loop and sited remotely - Dickens County, Wink, Cotulla - away from municipal supply. IREN's direct-to-chip liquid cooling at Childress is closed-loop. Galaxy discloses on-site groundwater facilities, campus water treatment and wastewater treatment at Helios, i.e. self-supply rather than municipal draw.</t>
  </si>
  <si>
    <t>NOBODY HAS PUBLISHED NUMBERS. Galaxy's water disclosure is a caption on a construction-progress slide - no gallons, no annual or peak figure, no aquifer named. Cipher's AWS build at Black Pearl delivers both air AND liquid cooling to the racks, at Wink, in the water-scarce Permian Basin, with no water disclosure at all. The AI retrofit is precisely what raises water intensity.</t>
  </si>
  <si>
    <t>Galaxy Helios (Q1 2026 8-K Ex-99.2, slide 16) is the only water STRATEGY disclosure in the peer group - and even it contains no water NUMBERS.</t>
  </si>
  <si>
    <t>Community protections</t>
  </si>
  <si>
    <t>Measures to reduce impacts on neighbouring property owners and communities, including noise mitigation, light controls, setbacks, traffic improvements and emergency response coordination.</t>
  </si>
  <si>
    <t>Remote, low-density siting means few neighbours at most Texas campuses. Cipher's land buffers are substantial - Colchis 620 acres, McLennan 319, Barber Lake 250 owned (587 total per the deck), Milsing 187. IREN funds community grants of up to C$100,000 a year in Childress plus 10 local scholarships, disclosed in its FY25 10-K.</t>
  </si>
  <si>
    <t>The sector's weakest flank. Bitcoin mining carries the worst noise reputation in large-load infrastructure because of air-cooled ASIC fans. Cipher's Black Pearl runs 300 MW on approximately 75 ACRES - by far the densest site in its portfolio and the most exposed on setbacks and noise. Cipher discloses no noise, lighting or traffic mitigation anywhere. The conversion to liquid cooling ironically helps here.</t>
  </si>
  <si>
    <t>IREN Childress community grants and scholarships (FY25 10-K) is the only documented community-investment programme in the group.</t>
  </si>
  <si>
    <t>Ownership and controlling interests</t>
  </si>
  <si>
    <t>Information detailing the ownership and controlling interests in the project.</t>
  </si>
  <si>
    <t>US-listed issuers already file beneficial-ownership detail with the SEC, a structural advantage over private or foreign-backed developers. Cipher's Barber Lake and Black Pearl sit in cleanly held wholly-owned subsidiaries, Cipher Barber Lake LLC and Cipher Black Pearl LLC. This should be the easiest of the five criteria to satisfy.</t>
  </si>
  <si>
    <t>JV structures muddy the definition of controlling interest. Cipher expects approx. 95% of Colchis 'subject to final lease and development terms' - not yet fixed - and holds only approx. 59 MW of the 120 MW Alborz/Bear/Chief JV with WindHQ LLC. TeraWulf holds 50.1% of Abernathy; Hut 8 holds 50% of King Mountain. Bitdeer's Singapore and Cayman structure is the sharpest exposure if foreign-ownership scrutiny bites. NOTE: the filer is now CIPHER DIGITAL INC., so entity names will not match older filings.</t>
  </si>
  <si>
    <t>Cipher shows both sides: clean wholly-owned SPVs at Barber Lake and Black Pearl, unfixed control at Colchis.</t>
  </si>
  <si>
    <t>Office of the Texas Governor, 'Governor Abbott Directs Comprehensive Data Center Audit', 3-Aug-2026. https://gov.texas.gov/news/post/governor-abbott-directs-comprehensive-data-center-audit  ||  Office of the Texas Governor, directive letter to PUCT Chairman Gleeson and ERCOT CEO Vegas, 10-Jun-2026. https://gov.texas.gov/uploads/files/press/Thomas_Gleeson_Pablo_Vegas_Data_Centers_Directive_Letter_to_PUC_ERCOT_FINAL.pdf  ||  ERCOT Trending Topics, 'ERCOT's New Batch Connection Process for Large Electricity Users', 18-Jun-2026. https://www.ercot.com/files/docs/2026/06/18/ERCOT-Trending-Topic-New-Batch-Connection-Process-for-Large-Electricity-Users.pdf  ||  ERCOT news release, 'PUCT Approves ERCOT's Batch Zero Process', 18-Jun-2026. https://www.ercot.com/news/release/06182026-puct-approves-ercots</t>
  </si>
  <si>
    <t>CAVEAT</t>
  </si>
  <si>
    <t>Column E of Section C ('Likely classification') is ANALYST INFERENCE built from each company's own disclosed approval language measured against ERCOT's published base-load criterion. ERCOT has not classified any project publicly, and the process is currently postponed. Do not present column E as disclosed fact. Columns D and G are official disclosure and are safe to publish.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</si>
</sst>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3"/>
      <color rgb="FFFFFFFF"/>
      <name val="Arial"/>
    </font>
    <font>
      <i/>
      <sz val="8"/>
      <color rgb="FF1F3864"/>
      <name val="Arial"/>
    </font>
    <font>
      <b/>
      <sz val="9"/>
      <color rgb="FFFFFFFF"/>
      <name val="Arial"/>
    </font>
    <font>
      <b/>
      <sz val="9"/>
      <color rgb="FF1F3864"/>
      <name val="Arial"/>
    </font>
    <font>
      <b/>
      <sz val="9"/>
      <name val="Arial"/>
    </font>
    <font>
      <sz val="9"/>
      <name val="Arial"/>
    </font>
    <font>
      <sz val="8"/>
      <color rgb="FF404040"/>
      <name val="Arial"/>
    </font>
    <font>
      <b/>
      <sz val="9"/>
      <color rgb="FF843C0C"/>
      <name val="Arial"/>
    </font>
    <font>
      <b/>
      <sz val="9"/>
      <color rgb="FF1F6032"/>
      <name val="Arial"/>
    </font>
  </fonts>
  <fills count="9">
    <fill>
      <patternFill patternType="none"/>
    </fill>
    <fill>
      <patternFill patternType="gray125"/>
    </fill>
    <fill>
      <patternFill patternType="solid">
        <fgColor rgb="FF1F3864"/>
      </patternFill>
    </fill>
    <fill>
      <patternFill patternType="solid">
        <fgColor rgb="FF2E5C8A"/>
      </patternFill>
    </fill>
    <fill>
      <patternFill patternType="solid">
        <fgColor rgb="FFD9E2F3"/>
      </patternFill>
    </fill>
    <fill>
      <patternFill patternType="solid">
        <fgColor rgb="FFF2F5FA"/>
      </patternFill>
    </fill>
    <fill>
      <patternFill patternType="solid">
        <fgColor rgb="FFFFF2CC"/>
      </patternFill>
    </fill>
    <fill>
      <patternFill patternType="solid">
        <fgColor rgb="FFFCE4D6"/>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7" fillId="0" borderId="1" xfId="0" applyFont="1" applyBorder="1" applyAlignment="1">
      <alignment horizontal="left" vertical="top" wrapText="1"/>
    </xf>
    <xf numFmtId="0" fontId="8" fillId="6"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5" fillId="0" borderId="0" xfId="0" applyFont="1"/>
    <xf numFmtId="0" fontId="3" fillId="3" borderId="1" xfId="0" applyFont="1" applyFill="1" applyBorder="1" applyAlignment="1">
      <alignment horizontal="left" vertical="top" wrapText="1"/>
    </xf>
    <xf numFmtId="0" fontId="3" fillId="3" borderId="0" xfId="0" applyFont="1" applyFill="1"/>
    <xf numFmtId="0" fontId="7" fillId="0" borderId="0" xfId="0" applyFont="1" applyAlignment="1">
      <alignment horizontal="left" vertical="top" wrapText="1"/>
    </xf>
    <xf numFmtId="0" fontId="9" fillId="8" borderId="1" xfId="0" applyFont="1" applyFill="1" applyBorder="1" applyAlignment="1">
      <alignment horizontal="left" vertical="top" wrapText="1"/>
    </xf>
    <xf numFmtId="3" fontId="6" fillId="0" borderId="1" xfId="0" applyNumberFormat="1" applyFont="1" applyBorder="1" applyAlignment="1">
      <alignment horizontal="right" vertical="top"/>
    </xf>
    <xf numFmtId="0" fontId="6" fillId="8" borderId="1" xfId="0" applyFont="1" applyFill="1" applyBorder="1" applyAlignment="1">
      <alignment horizontal="left" vertical="top" wrapText="1"/>
    </xf>
    <xf numFmtId="3" fontId="6" fillId="8" borderId="1" xfId="0" applyNumberFormat="1" applyFont="1" applyFill="1" applyBorder="1" applyAlignment="1">
      <alignment horizontal="right" vertical="top"/>
    </xf>
    <xf numFmtId="0" fontId="5" fillId="0" borderId="1" xfId="0" applyFont="1" applyBorder="1"/>
    <xf numFmtId="0" fontId="0" fillId="0" borderId="1" xfId="0" applyBorder="1"/>
    <xf numFmtId="3" fontId="5" fillId="0" borderId="1" xfId="0" applyNumberFormat="1" applyFont="1" applyBorder="1" applyAlignment="1">
      <alignment horizontal="right" vertical="top"/>
    </xf>
    <xf numFmtId="0" fontId="6" fillId="0" borderId="1" xfId="0" applyFont="1" applyBorder="1"/>
    <xf numFmtId="0" fontId="3" fillId="3" borderId="1" xfId="0" applyFont="1" applyFill="1" applyBorder="1" applyAlignment="1">
      <alignment horizontal="center" vertical="center"/>
    </xf>
    <xf numFmtId="0" fontId="5" fillId="6"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8" fillId="0" borderId="0" xfId="0" applyFont="1"/>
    <xf numFmtId="0" fontId="2" fillId="0" borderId="0" xfId="0" applyFont="1" applyAlignment="1">
      <alignment horizontal="left" vertical="center" wrapText="1" indent="1"/>
    </xf>
    <xf numFmtId="0" fontId="0" fillId="0" borderId="0" xfId="0"/>
    <xf numFmtId="0" fontId="1" fillId="2" borderId="0" xfId="0" applyFont="1" applyFill="1" applyAlignment="1">
      <alignment horizontal="left" vertical="center" indent="1"/>
    </xf>
    <xf numFmtId="0" fontId="3" fillId="3" borderId="0" xfId="0" applyFont="1" applyFill="1"/>
    <xf numFmtId="0" fontId="8" fillId="6" borderId="0" xfId="0" applyFont="1" applyFill="1" applyAlignment="1">
      <alignment horizontal="left" vertical="top" wrapText="1"/>
    </xf>
    <xf numFmtId="0" fontId="8" fillId="6" borderId="0" xfId="0" applyFont="1" applyFill="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1"/>
  <sheetViews>
    <sheetView tabSelected="1" workbookViewId="0">
      <pane xSplit="3" ySplit="3" topLeftCell="D4" activePane="bottomRight" state="frozen"/>
      <selection pane="topRight"/>
      <selection pane="bottomLeft"/>
      <selection pane="bottomRight" sqref="A1:Y1"/>
    </sheetView>
  </sheetViews>
  <sheetFormatPr defaultRowHeight="14.5" x14ac:dyDescent="0.35"/>
  <cols>
    <col min="1" max="1" width="16" customWidth="1"/>
    <col min="2" max="2" width="8" customWidth="1"/>
    <col min="3" max="3" width="24" customWidth="1"/>
    <col min="4" max="4" width="42" customWidth="1"/>
    <col min="5" max="5" width="52" customWidth="1"/>
    <col min="6" max="6" width="22" customWidth="1"/>
    <col min="7" max="7" width="52" customWidth="1"/>
    <col min="8" max="8" width="34" customWidth="1"/>
    <col min="9" max="9" width="52" customWidth="1"/>
    <col min="10" max="10" width="44" customWidth="1"/>
    <col min="11" max="11" width="52" customWidth="1"/>
    <col min="12" max="12" width="40" customWidth="1"/>
    <col min="13" max="13" width="52" customWidth="1"/>
    <col min="14" max="14" width="44" customWidth="1"/>
    <col min="15" max="15" width="52" customWidth="1"/>
    <col min="16" max="16" width="40" customWidth="1"/>
    <col min="17" max="17" width="52" customWidth="1"/>
    <col min="18" max="18" width="56" customWidth="1"/>
    <col min="19" max="21" width="52" customWidth="1"/>
    <col min="22" max="22" width="34" customWidth="1"/>
    <col min="23" max="23" width="52" customWidth="1"/>
    <col min="24" max="24" width="46" customWidth="1"/>
    <col min="25" max="25" width="60" customWidth="1"/>
  </cols>
  <sheetData>
    <row r="1" spans="1:25" ht="24" customHeight="1" x14ac:dyDescent="0.35">
      <c r="A1" s="30" t="s">
        <v>0</v>
      </c>
      <c r="B1" s="29"/>
      <c r="C1" s="29"/>
      <c r="D1" s="29"/>
      <c r="E1" s="29"/>
      <c r="F1" s="29"/>
      <c r="G1" s="29"/>
      <c r="H1" s="29"/>
      <c r="I1" s="29"/>
      <c r="J1" s="29"/>
      <c r="K1" s="29"/>
      <c r="L1" s="29"/>
      <c r="M1" s="29"/>
      <c r="N1" s="29"/>
      <c r="O1" s="29"/>
      <c r="P1" s="29"/>
      <c r="Q1" s="29"/>
      <c r="R1" s="29"/>
      <c r="S1" s="29"/>
      <c r="T1" s="29"/>
      <c r="U1" s="29"/>
      <c r="V1" s="29"/>
      <c r="W1" s="29"/>
      <c r="X1" s="29"/>
      <c r="Y1" s="29"/>
    </row>
    <row r="2" spans="1:25" ht="42" customHeight="1" x14ac:dyDescent="0.35">
      <c r="A2" s="28" t="s">
        <v>1</v>
      </c>
      <c r="B2" s="29"/>
      <c r="C2" s="29"/>
      <c r="D2" s="29"/>
      <c r="E2" s="29"/>
      <c r="F2" s="29"/>
      <c r="G2" s="29"/>
      <c r="H2" s="29"/>
      <c r="I2" s="29"/>
      <c r="J2" s="29"/>
      <c r="K2" s="29"/>
      <c r="L2" s="29"/>
      <c r="M2" s="29"/>
      <c r="N2" s="29"/>
      <c r="O2" s="29"/>
      <c r="P2" s="29"/>
      <c r="Q2" s="29"/>
      <c r="R2" s="29"/>
      <c r="S2" s="29"/>
      <c r="T2" s="29"/>
      <c r="U2" s="29"/>
      <c r="V2" s="29"/>
      <c r="W2" s="29"/>
      <c r="X2" s="29"/>
      <c r="Y2" s="29"/>
    </row>
    <row r="3" spans="1:25" ht="34" customHeight="1" x14ac:dyDescent="0.35">
      <c r="A3" s="1" t="s">
        <v>2</v>
      </c>
      <c r="B3" s="1" t="s">
        <v>3</v>
      </c>
      <c r="C3" s="1" t="s">
        <v>4</v>
      </c>
      <c r="D3" s="1" t="s">
        <v>5</v>
      </c>
      <c r="E3" s="2" t="s">
        <v>6</v>
      </c>
      <c r="F3" s="1" t="s">
        <v>7</v>
      </c>
      <c r="G3" s="2" t="s">
        <v>8</v>
      </c>
      <c r="H3" s="1" t="s">
        <v>9</v>
      </c>
      <c r="I3" s="2" t="s">
        <v>10</v>
      </c>
      <c r="J3" s="1" t="s">
        <v>11</v>
      </c>
      <c r="K3" s="2" t="s">
        <v>12</v>
      </c>
      <c r="L3" s="1" t="s">
        <v>13</v>
      </c>
      <c r="M3" s="2" t="s">
        <v>14</v>
      </c>
      <c r="N3" s="1" t="s">
        <v>15</v>
      </c>
      <c r="O3" s="2" t="s">
        <v>16</v>
      </c>
      <c r="P3" s="1" t="s">
        <v>17</v>
      </c>
      <c r="Q3" s="2" t="s">
        <v>18</v>
      </c>
      <c r="R3" s="1" t="s">
        <v>19</v>
      </c>
      <c r="S3" s="2" t="s">
        <v>20</v>
      </c>
      <c r="T3" s="1" t="s">
        <v>21</v>
      </c>
      <c r="U3" s="2" t="s">
        <v>22</v>
      </c>
      <c r="V3" s="1" t="s">
        <v>23</v>
      </c>
      <c r="W3" s="2" t="s">
        <v>24</v>
      </c>
      <c r="X3" s="1" t="s">
        <v>25</v>
      </c>
      <c r="Y3" s="1" t="s">
        <v>26</v>
      </c>
    </row>
    <row r="4" spans="1:25" ht="40" x14ac:dyDescent="0.35">
      <c r="A4" s="3" t="s">
        <v>27</v>
      </c>
      <c r="B4" s="3" t="s">
        <v>28</v>
      </c>
      <c r="C4" s="4" t="s">
        <v>29</v>
      </c>
      <c r="D4" s="4" t="s">
        <v>30</v>
      </c>
      <c r="E4" s="5" t="s">
        <v>31</v>
      </c>
      <c r="F4" s="4" t="s">
        <v>32</v>
      </c>
      <c r="G4" s="5" t="s">
        <v>31</v>
      </c>
      <c r="H4" s="4" t="s">
        <v>33</v>
      </c>
      <c r="I4" s="5" t="s">
        <v>34</v>
      </c>
      <c r="J4" s="4" t="s">
        <v>35</v>
      </c>
      <c r="K4" s="5" t="s">
        <v>31</v>
      </c>
      <c r="L4" s="4" t="s">
        <v>36</v>
      </c>
      <c r="M4" s="5" t="s">
        <v>31</v>
      </c>
      <c r="N4" s="4" t="s">
        <v>37</v>
      </c>
      <c r="O4" s="5" t="s">
        <v>38</v>
      </c>
      <c r="P4" s="4" t="s">
        <v>39</v>
      </c>
      <c r="Q4" s="5" t="s">
        <v>38</v>
      </c>
      <c r="R4" s="4" t="s">
        <v>40</v>
      </c>
      <c r="S4" s="5" t="s">
        <v>38</v>
      </c>
      <c r="T4" s="4" t="s">
        <v>41</v>
      </c>
      <c r="U4" s="5" t="s">
        <v>31</v>
      </c>
      <c r="V4" s="4" t="s">
        <v>42</v>
      </c>
      <c r="W4" s="5" t="s">
        <v>38</v>
      </c>
      <c r="X4" s="4" t="s">
        <v>43</v>
      </c>
      <c r="Y4" s="4" t="s">
        <v>44</v>
      </c>
    </row>
    <row r="5" spans="1:25" ht="40" x14ac:dyDescent="0.35">
      <c r="A5" s="3" t="s">
        <v>27</v>
      </c>
      <c r="B5" s="3" t="s">
        <v>28</v>
      </c>
      <c r="C5" s="4" t="s">
        <v>45</v>
      </c>
      <c r="D5" s="4" t="s">
        <v>46</v>
      </c>
      <c r="E5" s="5" t="s">
        <v>31</v>
      </c>
      <c r="F5" s="4" t="s">
        <v>32</v>
      </c>
      <c r="G5" s="5" t="s">
        <v>31</v>
      </c>
      <c r="H5" s="4" t="s">
        <v>33</v>
      </c>
      <c r="I5" s="5" t="s">
        <v>34</v>
      </c>
      <c r="J5" s="4" t="s">
        <v>47</v>
      </c>
      <c r="K5" s="5" t="s">
        <v>31</v>
      </c>
      <c r="L5" s="4" t="s">
        <v>48</v>
      </c>
      <c r="M5" s="5" t="s">
        <v>38</v>
      </c>
      <c r="N5" s="4" t="s">
        <v>33</v>
      </c>
      <c r="O5" s="5" t="s">
        <v>34</v>
      </c>
      <c r="P5" s="4" t="s">
        <v>49</v>
      </c>
      <c r="Q5" s="5" t="s">
        <v>38</v>
      </c>
      <c r="R5" s="4" t="s">
        <v>50</v>
      </c>
      <c r="S5" s="5" t="s">
        <v>38</v>
      </c>
      <c r="T5" s="4" t="s">
        <v>51</v>
      </c>
      <c r="U5" s="5" t="s">
        <v>38</v>
      </c>
      <c r="V5" s="4" t="s">
        <v>33</v>
      </c>
      <c r="W5" s="5" t="s">
        <v>34</v>
      </c>
      <c r="X5" s="4" t="s">
        <v>43</v>
      </c>
      <c r="Y5" s="4" t="s">
        <v>52</v>
      </c>
    </row>
    <row r="6" spans="1:25" ht="40" x14ac:dyDescent="0.35">
      <c r="A6" s="3" t="s">
        <v>27</v>
      </c>
      <c r="B6" s="3" t="s">
        <v>28</v>
      </c>
      <c r="C6" s="4" t="s">
        <v>53</v>
      </c>
      <c r="D6" s="4" t="s">
        <v>54</v>
      </c>
      <c r="E6" s="5" t="s">
        <v>31</v>
      </c>
      <c r="F6" s="4" t="s">
        <v>32</v>
      </c>
      <c r="G6" s="5" t="s">
        <v>31</v>
      </c>
      <c r="H6" s="4" t="s">
        <v>33</v>
      </c>
      <c r="I6" s="5" t="s">
        <v>34</v>
      </c>
      <c r="J6" s="4" t="s">
        <v>55</v>
      </c>
      <c r="K6" s="5" t="s">
        <v>31</v>
      </c>
      <c r="L6" s="4" t="s">
        <v>56</v>
      </c>
      <c r="M6" s="5" t="s">
        <v>31</v>
      </c>
      <c r="N6" s="4" t="s">
        <v>33</v>
      </c>
      <c r="O6" s="5" t="s">
        <v>34</v>
      </c>
      <c r="P6" s="4" t="s">
        <v>33</v>
      </c>
      <c r="Q6" s="5" t="s">
        <v>34</v>
      </c>
      <c r="R6" s="4" t="s">
        <v>57</v>
      </c>
      <c r="S6" s="5" t="s">
        <v>38</v>
      </c>
      <c r="T6" s="4" t="s">
        <v>58</v>
      </c>
      <c r="U6" s="5" t="s">
        <v>31</v>
      </c>
      <c r="V6" s="4" t="s">
        <v>33</v>
      </c>
      <c r="W6" s="5" t="s">
        <v>34</v>
      </c>
      <c r="X6" s="6" t="s">
        <v>59</v>
      </c>
      <c r="Y6" s="4" t="s">
        <v>60</v>
      </c>
    </row>
    <row r="7" spans="1:25" ht="46" x14ac:dyDescent="0.35">
      <c r="A7" s="3" t="s">
        <v>27</v>
      </c>
      <c r="B7" s="3" t="s">
        <v>28</v>
      </c>
      <c r="C7" s="4" t="s">
        <v>61</v>
      </c>
      <c r="D7" s="4" t="s">
        <v>62</v>
      </c>
      <c r="E7" s="5" t="s">
        <v>38</v>
      </c>
      <c r="F7" s="4" t="s">
        <v>33</v>
      </c>
      <c r="G7" s="5" t="s">
        <v>34</v>
      </c>
      <c r="H7" s="4" t="s">
        <v>33</v>
      </c>
      <c r="I7" s="5" t="s">
        <v>34</v>
      </c>
      <c r="J7" s="4" t="s">
        <v>63</v>
      </c>
      <c r="K7" s="5" t="s">
        <v>38</v>
      </c>
      <c r="L7" s="4" t="s">
        <v>56</v>
      </c>
      <c r="M7" s="5" t="s">
        <v>38</v>
      </c>
      <c r="N7" s="4" t="s">
        <v>33</v>
      </c>
      <c r="O7" s="5" t="s">
        <v>34</v>
      </c>
      <c r="P7" s="4" t="s">
        <v>33</v>
      </c>
      <c r="Q7" s="5" t="s">
        <v>34</v>
      </c>
      <c r="R7" s="4" t="s">
        <v>64</v>
      </c>
      <c r="S7" s="5" t="s">
        <v>38</v>
      </c>
      <c r="T7" s="4" t="s">
        <v>33</v>
      </c>
      <c r="U7" s="5" t="s">
        <v>34</v>
      </c>
      <c r="V7" s="4" t="s">
        <v>33</v>
      </c>
      <c r="W7" s="5" t="s">
        <v>34</v>
      </c>
      <c r="X7" s="4" t="s">
        <v>43</v>
      </c>
      <c r="Y7" s="4" t="s">
        <v>65</v>
      </c>
    </row>
    <row r="8" spans="1:25" ht="40" x14ac:dyDescent="0.35">
      <c r="A8" s="3" t="s">
        <v>27</v>
      </c>
      <c r="B8" s="3" t="s">
        <v>28</v>
      </c>
      <c r="C8" s="4" t="s">
        <v>66</v>
      </c>
      <c r="D8" s="4" t="s">
        <v>67</v>
      </c>
      <c r="E8" s="5" t="s">
        <v>31</v>
      </c>
      <c r="F8" s="4" t="s">
        <v>33</v>
      </c>
      <c r="G8" s="5" t="s">
        <v>34</v>
      </c>
      <c r="H8" s="4" t="s">
        <v>33</v>
      </c>
      <c r="I8" s="5" t="s">
        <v>34</v>
      </c>
      <c r="J8" s="4" t="s">
        <v>68</v>
      </c>
      <c r="K8" s="5" t="s">
        <v>31</v>
      </c>
      <c r="L8" s="4" t="s">
        <v>69</v>
      </c>
      <c r="M8" s="5" t="s">
        <v>31</v>
      </c>
      <c r="N8" s="4" t="s">
        <v>70</v>
      </c>
      <c r="O8" s="5" t="s">
        <v>38</v>
      </c>
      <c r="P8" s="4" t="s">
        <v>33</v>
      </c>
      <c r="Q8" s="5" t="s">
        <v>34</v>
      </c>
      <c r="R8" s="4" t="s">
        <v>71</v>
      </c>
      <c r="S8" s="5" t="s">
        <v>31</v>
      </c>
      <c r="T8" s="4" t="s">
        <v>72</v>
      </c>
      <c r="U8" s="5" t="s">
        <v>31</v>
      </c>
      <c r="V8" s="4" t="s">
        <v>33</v>
      </c>
      <c r="W8" s="5" t="s">
        <v>34</v>
      </c>
      <c r="X8" s="4" t="s">
        <v>73</v>
      </c>
      <c r="Y8" s="4" t="s">
        <v>74</v>
      </c>
    </row>
    <row r="9" spans="1:25" ht="40" x14ac:dyDescent="0.35">
      <c r="A9" s="3" t="s">
        <v>27</v>
      </c>
      <c r="B9" s="3" t="s">
        <v>28</v>
      </c>
      <c r="C9" s="4" t="s">
        <v>75</v>
      </c>
      <c r="D9" s="4" t="s">
        <v>76</v>
      </c>
      <c r="E9" s="5" t="s">
        <v>31</v>
      </c>
      <c r="F9" s="4" t="s">
        <v>33</v>
      </c>
      <c r="G9" s="5" t="s">
        <v>34</v>
      </c>
      <c r="H9" s="4" t="s">
        <v>33</v>
      </c>
      <c r="I9" s="5" t="s">
        <v>34</v>
      </c>
      <c r="J9" s="4" t="s">
        <v>77</v>
      </c>
      <c r="K9" s="5" t="s">
        <v>31</v>
      </c>
      <c r="L9" s="4" t="s">
        <v>78</v>
      </c>
      <c r="M9" s="5" t="s">
        <v>31</v>
      </c>
      <c r="N9" s="4" t="s">
        <v>33</v>
      </c>
      <c r="O9" s="5" t="s">
        <v>34</v>
      </c>
      <c r="P9" s="4" t="s">
        <v>33</v>
      </c>
      <c r="Q9" s="5" t="s">
        <v>34</v>
      </c>
      <c r="R9" s="4" t="s">
        <v>79</v>
      </c>
      <c r="S9" s="5" t="s">
        <v>31</v>
      </c>
      <c r="T9" s="4" t="s">
        <v>72</v>
      </c>
      <c r="U9" s="5" t="s">
        <v>31</v>
      </c>
      <c r="V9" s="4" t="s">
        <v>33</v>
      </c>
      <c r="W9" s="5" t="s">
        <v>34</v>
      </c>
      <c r="X9" s="4" t="s">
        <v>73</v>
      </c>
      <c r="Y9" s="4" t="s">
        <v>80</v>
      </c>
    </row>
    <row r="10" spans="1:25" ht="40" x14ac:dyDescent="0.35">
      <c r="A10" s="3" t="s">
        <v>27</v>
      </c>
      <c r="B10" s="3" t="s">
        <v>28</v>
      </c>
      <c r="C10" s="4" t="s">
        <v>81</v>
      </c>
      <c r="D10" s="4" t="s">
        <v>82</v>
      </c>
      <c r="E10" s="5" t="s">
        <v>31</v>
      </c>
      <c r="F10" s="4" t="s">
        <v>33</v>
      </c>
      <c r="G10" s="5" t="s">
        <v>34</v>
      </c>
      <c r="H10" s="4" t="s">
        <v>33</v>
      </c>
      <c r="I10" s="5" t="s">
        <v>34</v>
      </c>
      <c r="J10" s="4" t="s">
        <v>83</v>
      </c>
      <c r="K10" s="5" t="s">
        <v>31</v>
      </c>
      <c r="L10" s="4" t="s">
        <v>84</v>
      </c>
      <c r="M10" s="5" t="s">
        <v>31</v>
      </c>
      <c r="N10" s="4" t="s">
        <v>33</v>
      </c>
      <c r="O10" s="5" t="s">
        <v>34</v>
      </c>
      <c r="P10" s="4" t="s">
        <v>33</v>
      </c>
      <c r="Q10" s="5" t="s">
        <v>34</v>
      </c>
      <c r="R10" s="4" t="s">
        <v>33</v>
      </c>
      <c r="S10" s="5" t="s">
        <v>34</v>
      </c>
      <c r="T10" s="4" t="s">
        <v>72</v>
      </c>
      <c r="U10" s="5" t="s">
        <v>31</v>
      </c>
      <c r="V10" s="4" t="s">
        <v>33</v>
      </c>
      <c r="W10" s="5" t="s">
        <v>34</v>
      </c>
      <c r="X10" s="7" t="s">
        <v>85</v>
      </c>
      <c r="Y10" s="4" t="s">
        <v>86</v>
      </c>
    </row>
    <row r="11" spans="1:25" ht="40" x14ac:dyDescent="0.35">
      <c r="A11" s="3" t="s">
        <v>27</v>
      </c>
      <c r="B11" s="3" t="s">
        <v>28</v>
      </c>
      <c r="C11" s="4" t="s">
        <v>87</v>
      </c>
      <c r="D11" s="4" t="s">
        <v>88</v>
      </c>
      <c r="E11" s="5" t="s">
        <v>38</v>
      </c>
      <c r="F11" s="4" t="s">
        <v>33</v>
      </c>
      <c r="G11" s="5" t="s">
        <v>34</v>
      </c>
      <c r="H11" s="4" t="s">
        <v>33</v>
      </c>
      <c r="I11" s="5" t="s">
        <v>34</v>
      </c>
      <c r="J11" s="4" t="s">
        <v>89</v>
      </c>
      <c r="K11" s="5" t="s">
        <v>38</v>
      </c>
      <c r="L11" s="4" t="s">
        <v>56</v>
      </c>
      <c r="M11" s="5" t="s">
        <v>38</v>
      </c>
      <c r="N11" s="4" t="s">
        <v>33</v>
      </c>
      <c r="O11" s="5" t="s">
        <v>34</v>
      </c>
      <c r="P11" s="4" t="s">
        <v>90</v>
      </c>
      <c r="Q11" s="5" t="s">
        <v>38</v>
      </c>
      <c r="R11" s="4" t="s">
        <v>91</v>
      </c>
      <c r="S11" s="5" t="s">
        <v>38</v>
      </c>
      <c r="T11" s="4" t="s">
        <v>92</v>
      </c>
      <c r="U11" s="5" t="s">
        <v>38</v>
      </c>
      <c r="V11" s="4" t="s">
        <v>33</v>
      </c>
      <c r="W11" s="5" t="s">
        <v>34</v>
      </c>
      <c r="X11" s="4" t="s">
        <v>43</v>
      </c>
      <c r="Y11" s="4" t="s">
        <v>93</v>
      </c>
    </row>
    <row r="12" spans="1:25" ht="40" x14ac:dyDescent="0.35">
      <c r="A12" s="8" t="s">
        <v>94</v>
      </c>
      <c r="B12" s="8" t="s">
        <v>95</v>
      </c>
      <c r="C12" s="9" t="s">
        <v>96</v>
      </c>
      <c r="D12" s="9" t="s">
        <v>97</v>
      </c>
      <c r="E12" s="5" t="s">
        <v>98</v>
      </c>
      <c r="F12" s="9" t="s">
        <v>32</v>
      </c>
      <c r="G12" s="5" t="s">
        <v>98</v>
      </c>
      <c r="H12" s="9" t="s">
        <v>99</v>
      </c>
      <c r="I12" s="5" t="s">
        <v>98</v>
      </c>
      <c r="J12" s="9" t="s">
        <v>100</v>
      </c>
      <c r="K12" s="5" t="s">
        <v>98</v>
      </c>
      <c r="L12" s="9" t="s">
        <v>101</v>
      </c>
      <c r="M12" s="5" t="s">
        <v>98</v>
      </c>
      <c r="N12" s="9" t="s">
        <v>102</v>
      </c>
      <c r="O12" s="5" t="s">
        <v>98</v>
      </c>
      <c r="P12" s="9" t="s">
        <v>103</v>
      </c>
      <c r="Q12" s="5" t="s">
        <v>98</v>
      </c>
      <c r="R12" s="9" t="s">
        <v>104</v>
      </c>
      <c r="S12" s="5" t="s">
        <v>98</v>
      </c>
      <c r="T12" s="9" t="s">
        <v>72</v>
      </c>
      <c r="U12" s="5" t="s">
        <v>98</v>
      </c>
      <c r="V12" s="9" t="s">
        <v>105</v>
      </c>
      <c r="W12" s="5" t="s">
        <v>98</v>
      </c>
      <c r="X12" s="9" t="s">
        <v>73</v>
      </c>
      <c r="Y12" s="9" t="s">
        <v>106</v>
      </c>
    </row>
    <row r="13" spans="1:25" ht="70" x14ac:dyDescent="0.35">
      <c r="A13" s="8" t="s">
        <v>94</v>
      </c>
      <c r="B13" s="8" t="s">
        <v>95</v>
      </c>
      <c r="C13" s="9" t="s">
        <v>107</v>
      </c>
      <c r="D13" s="9" t="s">
        <v>108</v>
      </c>
      <c r="E13" s="5" t="s">
        <v>98</v>
      </c>
      <c r="F13" s="9" t="s">
        <v>32</v>
      </c>
      <c r="G13" s="5" t="s">
        <v>98</v>
      </c>
      <c r="H13" s="9" t="s">
        <v>33</v>
      </c>
      <c r="I13" s="5" t="s">
        <v>34</v>
      </c>
      <c r="J13" s="9" t="s">
        <v>109</v>
      </c>
      <c r="K13" s="5" t="s">
        <v>98</v>
      </c>
      <c r="L13" s="9" t="s">
        <v>110</v>
      </c>
      <c r="M13" s="5" t="s">
        <v>111</v>
      </c>
      <c r="N13" s="9" t="s">
        <v>112</v>
      </c>
      <c r="O13" s="5" t="s">
        <v>111</v>
      </c>
      <c r="P13" s="9" t="s">
        <v>113</v>
      </c>
      <c r="Q13" s="5" t="s">
        <v>114</v>
      </c>
      <c r="R13" s="9" t="s">
        <v>115</v>
      </c>
      <c r="S13" s="5" t="s">
        <v>98</v>
      </c>
      <c r="T13" s="9" t="s">
        <v>116</v>
      </c>
      <c r="U13" s="5" t="s">
        <v>98</v>
      </c>
      <c r="V13" s="9" t="s">
        <v>117</v>
      </c>
      <c r="W13" s="5" t="s">
        <v>98</v>
      </c>
      <c r="X13" s="9" t="s">
        <v>73</v>
      </c>
      <c r="Y13" s="9" t="s">
        <v>118</v>
      </c>
    </row>
    <row r="14" spans="1:25" ht="115" x14ac:dyDescent="0.35">
      <c r="A14" s="8" t="s">
        <v>94</v>
      </c>
      <c r="B14" s="8" t="s">
        <v>95</v>
      </c>
      <c r="C14" s="9" t="s">
        <v>119</v>
      </c>
      <c r="D14" s="9" t="s">
        <v>120</v>
      </c>
      <c r="E14" s="5" t="s">
        <v>98</v>
      </c>
      <c r="F14" s="9" t="s">
        <v>32</v>
      </c>
      <c r="G14" s="5" t="s">
        <v>98</v>
      </c>
      <c r="H14" s="9" t="s">
        <v>33</v>
      </c>
      <c r="I14" s="5" t="s">
        <v>34</v>
      </c>
      <c r="J14" s="9" t="s">
        <v>121</v>
      </c>
      <c r="K14" s="5" t="s">
        <v>98</v>
      </c>
      <c r="L14" s="9" t="s">
        <v>122</v>
      </c>
      <c r="M14" s="5" t="s">
        <v>98</v>
      </c>
      <c r="N14" s="9" t="s">
        <v>123</v>
      </c>
      <c r="O14" s="5" t="s">
        <v>98</v>
      </c>
      <c r="P14" s="9" t="s">
        <v>124</v>
      </c>
      <c r="Q14" s="5" t="s">
        <v>34</v>
      </c>
      <c r="R14" s="9" t="s">
        <v>125</v>
      </c>
      <c r="S14" s="5" t="s">
        <v>111</v>
      </c>
      <c r="T14" s="9" t="s">
        <v>126</v>
      </c>
      <c r="U14" s="5" t="s">
        <v>98</v>
      </c>
      <c r="V14" s="9" t="s">
        <v>127</v>
      </c>
      <c r="W14" s="5" t="s">
        <v>128</v>
      </c>
      <c r="X14" s="9" t="s">
        <v>73</v>
      </c>
      <c r="Y14" s="9" t="s">
        <v>129</v>
      </c>
    </row>
    <row r="15" spans="1:25" ht="70" x14ac:dyDescent="0.35">
      <c r="A15" s="8" t="s">
        <v>94</v>
      </c>
      <c r="B15" s="8" t="s">
        <v>95</v>
      </c>
      <c r="C15" s="9" t="s">
        <v>130</v>
      </c>
      <c r="D15" s="9" t="s">
        <v>131</v>
      </c>
      <c r="E15" s="5" t="s">
        <v>98</v>
      </c>
      <c r="F15" s="9" t="s">
        <v>32</v>
      </c>
      <c r="G15" s="5" t="s">
        <v>98</v>
      </c>
      <c r="H15" s="9" t="s">
        <v>132</v>
      </c>
      <c r="I15" s="5" t="s">
        <v>98</v>
      </c>
      <c r="J15" s="9" t="s">
        <v>133</v>
      </c>
      <c r="K15" s="5" t="s">
        <v>98</v>
      </c>
      <c r="L15" s="9" t="s">
        <v>56</v>
      </c>
      <c r="M15" s="5" t="s">
        <v>98</v>
      </c>
      <c r="N15" s="9" t="s">
        <v>33</v>
      </c>
      <c r="O15" s="5" t="s">
        <v>34</v>
      </c>
      <c r="P15" s="9" t="s">
        <v>33</v>
      </c>
      <c r="Q15" s="5" t="s">
        <v>34</v>
      </c>
      <c r="R15" s="9" t="s">
        <v>134</v>
      </c>
      <c r="S15" s="5" t="s">
        <v>98</v>
      </c>
      <c r="T15" s="9" t="s">
        <v>135</v>
      </c>
      <c r="U15" s="5" t="s">
        <v>136</v>
      </c>
      <c r="V15" s="9" t="s">
        <v>33</v>
      </c>
      <c r="W15" s="5" t="s">
        <v>34</v>
      </c>
      <c r="X15" s="9" t="s">
        <v>73</v>
      </c>
      <c r="Y15" s="9" t="s">
        <v>137</v>
      </c>
    </row>
    <row r="16" spans="1:25" ht="40" x14ac:dyDescent="0.35">
      <c r="A16" s="8" t="s">
        <v>94</v>
      </c>
      <c r="B16" s="8" t="s">
        <v>95</v>
      </c>
      <c r="C16" s="9" t="s">
        <v>138</v>
      </c>
      <c r="D16" s="9" t="s">
        <v>139</v>
      </c>
      <c r="E16" s="5" t="s">
        <v>98</v>
      </c>
      <c r="F16" s="9" t="s">
        <v>140</v>
      </c>
      <c r="G16" s="5" t="s">
        <v>98</v>
      </c>
      <c r="H16" s="9" t="s">
        <v>141</v>
      </c>
      <c r="I16" s="5" t="s">
        <v>98</v>
      </c>
      <c r="J16" s="9" t="s">
        <v>142</v>
      </c>
      <c r="K16" s="5" t="s">
        <v>98</v>
      </c>
      <c r="L16" s="9" t="s">
        <v>56</v>
      </c>
      <c r="M16" s="5" t="s">
        <v>98</v>
      </c>
      <c r="N16" s="9" t="s">
        <v>33</v>
      </c>
      <c r="O16" s="5" t="s">
        <v>34</v>
      </c>
      <c r="P16" s="9" t="s">
        <v>33</v>
      </c>
      <c r="Q16" s="5" t="s">
        <v>34</v>
      </c>
      <c r="R16" s="9" t="s">
        <v>143</v>
      </c>
      <c r="S16" s="5" t="s">
        <v>98</v>
      </c>
      <c r="T16" s="9" t="s">
        <v>144</v>
      </c>
      <c r="U16" s="5" t="s">
        <v>98</v>
      </c>
      <c r="V16" s="9" t="s">
        <v>33</v>
      </c>
      <c r="W16" s="5" t="s">
        <v>34</v>
      </c>
      <c r="X16" s="9" t="s">
        <v>73</v>
      </c>
      <c r="Y16" s="9" t="s">
        <v>145</v>
      </c>
    </row>
    <row r="17" spans="1:25" ht="70" x14ac:dyDescent="0.35">
      <c r="A17" s="8" t="s">
        <v>94</v>
      </c>
      <c r="B17" s="8" t="s">
        <v>95</v>
      </c>
      <c r="C17" s="9" t="s">
        <v>146</v>
      </c>
      <c r="D17" s="9" t="s">
        <v>147</v>
      </c>
      <c r="E17" s="5" t="s">
        <v>98</v>
      </c>
      <c r="F17" s="9" t="s">
        <v>32</v>
      </c>
      <c r="G17" s="5" t="s">
        <v>98</v>
      </c>
      <c r="H17" s="9" t="s">
        <v>33</v>
      </c>
      <c r="I17" s="5" t="s">
        <v>34</v>
      </c>
      <c r="J17" s="9" t="s">
        <v>148</v>
      </c>
      <c r="K17" s="5" t="s">
        <v>98</v>
      </c>
      <c r="L17" s="9" t="s">
        <v>149</v>
      </c>
      <c r="M17" s="5" t="s">
        <v>98</v>
      </c>
      <c r="N17" s="9" t="s">
        <v>33</v>
      </c>
      <c r="O17" s="5" t="s">
        <v>34</v>
      </c>
      <c r="P17" s="9" t="s">
        <v>33</v>
      </c>
      <c r="Q17" s="5" t="s">
        <v>34</v>
      </c>
      <c r="R17" s="9" t="s">
        <v>150</v>
      </c>
      <c r="S17" s="5" t="s">
        <v>111</v>
      </c>
      <c r="T17" s="9" t="s">
        <v>151</v>
      </c>
      <c r="U17" s="5" t="s">
        <v>111</v>
      </c>
      <c r="V17" s="9" t="s">
        <v>33</v>
      </c>
      <c r="W17" s="5" t="s">
        <v>34</v>
      </c>
      <c r="X17" s="9" t="s">
        <v>73</v>
      </c>
      <c r="Y17" s="9" t="s">
        <v>152</v>
      </c>
    </row>
    <row r="18" spans="1:25" ht="40" x14ac:dyDescent="0.35">
      <c r="A18" s="8" t="s">
        <v>94</v>
      </c>
      <c r="B18" s="8" t="s">
        <v>95</v>
      </c>
      <c r="C18" s="9" t="s">
        <v>153</v>
      </c>
      <c r="D18" s="9" t="s">
        <v>154</v>
      </c>
      <c r="E18" s="5" t="s">
        <v>98</v>
      </c>
      <c r="F18" s="9" t="s">
        <v>32</v>
      </c>
      <c r="G18" s="5" t="s">
        <v>98</v>
      </c>
      <c r="H18" s="9" t="s">
        <v>33</v>
      </c>
      <c r="I18" s="5" t="s">
        <v>34</v>
      </c>
      <c r="J18" s="9" t="s">
        <v>155</v>
      </c>
      <c r="K18" s="5" t="s">
        <v>98</v>
      </c>
      <c r="L18" s="9" t="s">
        <v>56</v>
      </c>
      <c r="M18" s="5" t="s">
        <v>98</v>
      </c>
      <c r="N18" s="9" t="s">
        <v>33</v>
      </c>
      <c r="O18" s="5" t="s">
        <v>34</v>
      </c>
      <c r="P18" s="9" t="s">
        <v>156</v>
      </c>
      <c r="Q18" s="5" t="s">
        <v>98</v>
      </c>
      <c r="R18" s="9" t="s">
        <v>157</v>
      </c>
      <c r="S18" s="5" t="s">
        <v>98</v>
      </c>
      <c r="T18" s="9" t="s">
        <v>158</v>
      </c>
      <c r="U18" s="5" t="s">
        <v>98</v>
      </c>
      <c r="V18" s="9" t="s">
        <v>33</v>
      </c>
      <c r="W18" s="5" t="s">
        <v>34</v>
      </c>
      <c r="X18" s="9" t="s">
        <v>73</v>
      </c>
      <c r="Y18" s="9"/>
    </row>
    <row r="19" spans="1:25" ht="70" x14ac:dyDescent="0.35">
      <c r="A19" s="8" t="s">
        <v>94</v>
      </c>
      <c r="B19" s="8" t="s">
        <v>95</v>
      </c>
      <c r="C19" s="9" t="s">
        <v>159</v>
      </c>
      <c r="D19" s="9" t="s">
        <v>160</v>
      </c>
      <c r="E19" s="5" t="s">
        <v>98</v>
      </c>
      <c r="F19" s="9" t="s">
        <v>32</v>
      </c>
      <c r="G19" s="5" t="s">
        <v>98</v>
      </c>
      <c r="H19" s="9" t="s">
        <v>33</v>
      </c>
      <c r="I19" s="5" t="s">
        <v>34</v>
      </c>
      <c r="J19" s="9" t="s">
        <v>161</v>
      </c>
      <c r="K19" s="5" t="s">
        <v>98</v>
      </c>
      <c r="L19" s="9" t="s">
        <v>56</v>
      </c>
      <c r="M19" s="5" t="s">
        <v>98</v>
      </c>
      <c r="N19" s="9" t="s">
        <v>33</v>
      </c>
      <c r="O19" s="5" t="s">
        <v>34</v>
      </c>
      <c r="P19" s="9" t="s">
        <v>33</v>
      </c>
      <c r="Q19" s="5" t="s">
        <v>34</v>
      </c>
      <c r="R19" s="9" t="s">
        <v>162</v>
      </c>
      <c r="S19" s="5" t="s">
        <v>98</v>
      </c>
      <c r="T19" s="9" t="s">
        <v>163</v>
      </c>
      <c r="U19" s="5" t="s">
        <v>111</v>
      </c>
      <c r="V19" s="9" t="s">
        <v>33</v>
      </c>
      <c r="W19" s="5" t="s">
        <v>34</v>
      </c>
      <c r="X19" s="9" t="s">
        <v>73</v>
      </c>
      <c r="Y19" s="9" t="s">
        <v>164</v>
      </c>
    </row>
    <row r="20" spans="1:25" ht="70" x14ac:dyDescent="0.35">
      <c r="A20" s="8" t="s">
        <v>94</v>
      </c>
      <c r="B20" s="8" t="s">
        <v>95</v>
      </c>
      <c r="C20" s="9" t="s">
        <v>165</v>
      </c>
      <c r="D20" s="9" t="s">
        <v>147</v>
      </c>
      <c r="E20" s="5" t="s">
        <v>98</v>
      </c>
      <c r="F20" s="9" t="s">
        <v>32</v>
      </c>
      <c r="G20" s="5" t="s">
        <v>98</v>
      </c>
      <c r="H20" s="9" t="s">
        <v>33</v>
      </c>
      <c r="I20" s="5" t="s">
        <v>34</v>
      </c>
      <c r="J20" s="9" t="s">
        <v>161</v>
      </c>
      <c r="K20" s="5" t="s">
        <v>98</v>
      </c>
      <c r="L20" s="9" t="s">
        <v>56</v>
      </c>
      <c r="M20" s="5" t="s">
        <v>98</v>
      </c>
      <c r="N20" s="9" t="s">
        <v>33</v>
      </c>
      <c r="O20" s="5" t="s">
        <v>34</v>
      </c>
      <c r="P20" s="9" t="s">
        <v>33</v>
      </c>
      <c r="Q20" s="5" t="s">
        <v>34</v>
      </c>
      <c r="R20" s="9" t="s">
        <v>166</v>
      </c>
      <c r="S20" s="5" t="s">
        <v>98</v>
      </c>
      <c r="T20" s="9" t="s">
        <v>167</v>
      </c>
      <c r="U20" s="5" t="s">
        <v>111</v>
      </c>
      <c r="V20" s="9" t="s">
        <v>33</v>
      </c>
      <c r="W20" s="5" t="s">
        <v>34</v>
      </c>
      <c r="X20" s="9" t="s">
        <v>73</v>
      </c>
      <c r="Y20" s="9" t="s">
        <v>168</v>
      </c>
    </row>
    <row r="21" spans="1:25" ht="70" x14ac:dyDescent="0.35">
      <c r="A21" s="8" t="s">
        <v>94</v>
      </c>
      <c r="B21" s="8" t="s">
        <v>95</v>
      </c>
      <c r="C21" s="9" t="s">
        <v>169</v>
      </c>
      <c r="D21" s="9" t="s">
        <v>170</v>
      </c>
      <c r="E21" s="5" t="s">
        <v>98</v>
      </c>
      <c r="F21" s="9" t="s">
        <v>32</v>
      </c>
      <c r="G21" s="5" t="s">
        <v>98</v>
      </c>
      <c r="H21" s="9" t="s">
        <v>33</v>
      </c>
      <c r="I21" s="5" t="s">
        <v>34</v>
      </c>
      <c r="J21" s="9" t="s">
        <v>161</v>
      </c>
      <c r="K21" s="5" t="s">
        <v>98</v>
      </c>
      <c r="L21" s="9" t="s">
        <v>56</v>
      </c>
      <c r="M21" s="5" t="s">
        <v>98</v>
      </c>
      <c r="N21" s="9" t="s">
        <v>33</v>
      </c>
      <c r="O21" s="5" t="s">
        <v>34</v>
      </c>
      <c r="P21" s="9" t="s">
        <v>33</v>
      </c>
      <c r="Q21" s="5" t="s">
        <v>34</v>
      </c>
      <c r="R21" s="9" t="s">
        <v>171</v>
      </c>
      <c r="S21" s="5" t="s">
        <v>98</v>
      </c>
      <c r="T21" s="9" t="s">
        <v>167</v>
      </c>
      <c r="U21" s="5" t="s">
        <v>111</v>
      </c>
      <c r="V21" s="9" t="s">
        <v>33</v>
      </c>
      <c r="W21" s="5" t="s">
        <v>34</v>
      </c>
      <c r="X21" s="9" t="s">
        <v>73</v>
      </c>
      <c r="Y21" s="9" t="s">
        <v>172</v>
      </c>
    </row>
    <row r="22" spans="1:25" ht="40" x14ac:dyDescent="0.35">
      <c r="A22" s="3" t="s">
        <v>173</v>
      </c>
      <c r="B22" s="3" t="s">
        <v>174</v>
      </c>
      <c r="C22" s="4" t="s">
        <v>175</v>
      </c>
      <c r="D22" s="4" t="s">
        <v>176</v>
      </c>
      <c r="E22" s="5" t="s">
        <v>177</v>
      </c>
      <c r="F22" s="4" t="s">
        <v>178</v>
      </c>
      <c r="G22" s="5" t="s">
        <v>177</v>
      </c>
      <c r="H22" s="4" t="s">
        <v>179</v>
      </c>
      <c r="I22" s="5" t="s">
        <v>177</v>
      </c>
      <c r="J22" s="4" t="s">
        <v>180</v>
      </c>
      <c r="K22" s="5" t="s">
        <v>177</v>
      </c>
      <c r="L22" s="4" t="s">
        <v>181</v>
      </c>
      <c r="M22" s="5" t="s">
        <v>177</v>
      </c>
      <c r="N22" s="4" t="s">
        <v>182</v>
      </c>
      <c r="O22" s="5" t="s">
        <v>177</v>
      </c>
      <c r="P22" s="4" t="s">
        <v>183</v>
      </c>
      <c r="Q22" s="5" t="s">
        <v>177</v>
      </c>
      <c r="R22" s="4" t="s">
        <v>184</v>
      </c>
      <c r="S22" s="5" t="s">
        <v>177</v>
      </c>
      <c r="T22" s="4" t="s">
        <v>185</v>
      </c>
      <c r="U22" s="5" t="s">
        <v>177</v>
      </c>
      <c r="V22" s="4" t="s">
        <v>186</v>
      </c>
      <c r="W22" s="5" t="s">
        <v>177</v>
      </c>
      <c r="X22" s="4" t="s">
        <v>73</v>
      </c>
      <c r="Y22" s="4" t="s">
        <v>187</v>
      </c>
    </row>
    <row r="23" spans="1:25" ht="40" x14ac:dyDescent="0.35">
      <c r="A23" s="3" t="s">
        <v>173</v>
      </c>
      <c r="B23" s="3" t="s">
        <v>174</v>
      </c>
      <c r="C23" s="4" t="s">
        <v>188</v>
      </c>
      <c r="D23" s="4" t="s">
        <v>189</v>
      </c>
      <c r="E23" s="5" t="s">
        <v>177</v>
      </c>
      <c r="F23" s="4" t="s">
        <v>190</v>
      </c>
      <c r="G23" s="5" t="s">
        <v>177</v>
      </c>
      <c r="H23" s="4" t="s">
        <v>33</v>
      </c>
      <c r="I23" s="5" t="s">
        <v>34</v>
      </c>
      <c r="J23" s="4" t="s">
        <v>191</v>
      </c>
      <c r="K23" s="5" t="s">
        <v>177</v>
      </c>
      <c r="L23" s="4" t="s">
        <v>192</v>
      </c>
      <c r="M23" s="5" t="s">
        <v>177</v>
      </c>
      <c r="N23" s="4" t="s">
        <v>193</v>
      </c>
      <c r="O23" s="5" t="s">
        <v>177</v>
      </c>
      <c r="P23" s="4" t="s">
        <v>194</v>
      </c>
      <c r="Q23" s="5" t="s">
        <v>177</v>
      </c>
      <c r="R23" s="4" t="s">
        <v>195</v>
      </c>
      <c r="S23" s="5" t="s">
        <v>177</v>
      </c>
      <c r="T23" s="4" t="s">
        <v>196</v>
      </c>
      <c r="U23" s="5" t="s">
        <v>34</v>
      </c>
      <c r="V23" s="4" t="s">
        <v>197</v>
      </c>
      <c r="W23" s="5" t="s">
        <v>177</v>
      </c>
      <c r="X23" s="4" t="s">
        <v>73</v>
      </c>
      <c r="Y23" s="4" t="s">
        <v>198</v>
      </c>
    </row>
    <row r="24" spans="1:25" ht="40" x14ac:dyDescent="0.35">
      <c r="A24" s="3" t="s">
        <v>173</v>
      </c>
      <c r="B24" s="3" t="s">
        <v>174</v>
      </c>
      <c r="C24" s="4" t="s">
        <v>199</v>
      </c>
      <c r="D24" s="4" t="s">
        <v>200</v>
      </c>
      <c r="E24" s="5" t="s">
        <v>177</v>
      </c>
      <c r="F24" s="4" t="s">
        <v>201</v>
      </c>
      <c r="G24" s="5" t="s">
        <v>177</v>
      </c>
      <c r="H24" s="4" t="s">
        <v>202</v>
      </c>
      <c r="I24" s="5" t="s">
        <v>177</v>
      </c>
      <c r="J24" s="4" t="s">
        <v>203</v>
      </c>
      <c r="K24" s="5" t="s">
        <v>177</v>
      </c>
      <c r="L24" s="4" t="s">
        <v>56</v>
      </c>
      <c r="M24" s="5" t="s">
        <v>177</v>
      </c>
      <c r="N24" s="4" t="s">
        <v>204</v>
      </c>
      <c r="O24" s="5" t="s">
        <v>177</v>
      </c>
      <c r="P24" s="4" t="s">
        <v>205</v>
      </c>
      <c r="Q24" s="5" t="s">
        <v>177</v>
      </c>
      <c r="R24" s="4" t="s">
        <v>206</v>
      </c>
      <c r="S24" s="5" t="s">
        <v>177</v>
      </c>
      <c r="T24" s="4" t="s">
        <v>207</v>
      </c>
      <c r="U24" s="5" t="s">
        <v>177</v>
      </c>
      <c r="V24" s="4" t="s">
        <v>208</v>
      </c>
      <c r="W24" s="5" t="s">
        <v>177</v>
      </c>
      <c r="X24" s="4" t="s">
        <v>73</v>
      </c>
      <c r="Y24" s="4" t="s">
        <v>209</v>
      </c>
    </row>
    <row r="25" spans="1:25" ht="40" x14ac:dyDescent="0.35">
      <c r="A25" s="8" t="s">
        <v>210</v>
      </c>
      <c r="B25" s="8" t="s">
        <v>211</v>
      </c>
      <c r="C25" s="9" t="s">
        <v>212</v>
      </c>
      <c r="D25" s="9" t="s">
        <v>213</v>
      </c>
      <c r="E25" s="5" t="s">
        <v>214</v>
      </c>
      <c r="F25" s="9" t="s">
        <v>33</v>
      </c>
      <c r="G25" s="5" t="s">
        <v>34</v>
      </c>
      <c r="H25" s="9" t="s">
        <v>33</v>
      </c>
      <c r="I25" s="5" t="s">
        <v>34</v>
      </c>
      <c r="J25" s="9" t="s">
        <v>215</v>
      </c>
      <c r="K25" s="5" t="s">
        <v>214</v>
      </c>
      <c r="L25" s="9" t="s">
        <v>216</v>
      </c>
      <c r="M25" s="5" t="s">
        <v>214</v>
      </c>
      <c r="N25" s="9" t="s">
        <v>217</v>
      </c>
      <c r="O25" s="5" t="s">
        <v>214</v>
      </c>
      <c r="P25" s="9" t="s">
        <v>218</v>
      </c>
      <c r="Q25" s="5" t="s">
        <v>34</v>
      </c>
      <c r="R25" s="9" t="s">
        <v>219</v>
      </c>
      <c r="S25" s="5" t="s">
        <v>214</v>
      </c>
      <c r="T25" s="9" t="s">
        <v>220</v>
      </c>
      <c r="U25" s="5" t="s">
        <v>34</v>
      </c>
      <c r="V25" s="9" t="s">
        <v>221</v>
      </c>
      <c r="W25" s="5" t="s">
        <v>214</v>
      </c>
      <c r="X25" s="9" t="s">
        <v>73</v>
      </c>
      <c r="Y25" s="9" t="s">
        <v>222</v>
      </c>
    </row>
    <row r="26" spans="1:25" ht="40" x14ac:dyDescent="0.35">
      <c r="A26" s="8" t="s">
        <v>210</v>
      </c>
      <c r="B26" s="8" t="s">
        <v>211</v>
      </c>
      <c r="C26" s="9" t="s">
        <v>223</v>
      </c>
      <c r="D26" s="9" t="s">
        <v>224</v>
      </c>
      <c r="E26" s="5" t="s">
        <v>214</v>
      </c>
      <c r="F26" s="9" t="s">
        <v>33</v>
      </c>
      <c r="G26" s="5" t="s">
        <v>34</v>
      </c>
      <c r="H26" s="9" t="s">
        <v>33</v>
      </c>
      <c r="I26" s="5" t="s">
        <v>34</v>
      </c>
      <c r="J26" s="9" t="s">
        <v>225</v>
      </c>
      <c r="K26" s="5" t="s">
        <v>214</v>
      </c>
      <c r="L26" s="9" t="s">
        <v>226</v>
      </c>
      <c r="M26" s="5" t="s">
        <v>214</v>
      </c>
      <c r="N26" s="9" t="s">
        <v>227</v>
      </c>
      <c r="O26" s="5" t="s">
        <v>214</v>
      </c>
      <c r="P26" s="9" t="s">
        <v>33</v>
      </c>
      <c r="Q26" s="5" t="s">
        <v>34</v>
      </c>
      <c r="R26" s="9" t="s">
        <v>228</v>
      </c>
      <c r="S26" s="5" t="s">
        <v>214</v>
      </c>
      <c r="T26" s="9" t="s">
        <v>33</v>
      </c>
      <c r="U26" s="5" t="s">
        <v>34</v>
      </c>
      <c r="V26" s="9" t="s">
        <v>229</v>
      </c>
      <c r="W26" s="5" t="s">
        <v>214</v>
      </c>
      <c r="X26" s="9" t="s">
        <v>73</v>
      </c>
      <c r="Y26" s="9" t="s">
        <v>230</v>
      </c>
    </row>
    <row r="27" spans="1:25" ht="40" x14ac:dyDescent="0.35">
      <c r="A27" s="8" t="s">
        <v>210</v>
      </c>
      <c r="B27" s="8" t="s">
        <v>211</v>
      </c>
      <c r="C27" s="9" t="s">
        <v>231</v>
      </c>
      <c r="D27" s="9" t="s">
        <v>232</v>
      </c>
      <c r="E27" s="5" t="s">
        <v>214</v>
      </c>
      <c r="F27" s="9" t="s">
        <v>33</v>
      </c>
      <c r="G27" s="5" t="s">
        <v>34</v>
      </c>
      <c r="H27" s="9" t="s">
        <v>33</v>
      </c>
      <c r="I27" s="5" t="s">
        <v>34</v>
      </c>
      <c r="J27" s="9" t="s">
        <v>233</v>
      </c>
      <c r="K27" s="5" t="s">
        <v>214</v>
      </c>
      <c r="L27" s="9" t="s">
        <v>234</v>
      </c>
      <c r="M27" s="5" t="s">
        <v>214</v>
      </c>
      <c r="N27" s="9" t="s">
        <v>235</v>
      </c>
      <c r="O27" s="5" t="s">
        <v>214</v>
      </c>
      <c r="P27" s="9" t="s">
        <v>33</v>
      </c>
      <c r="Q27" s="5" t="s">
        <v>34</v>
      </c>
      <c r="R27" s="9" t="s">
        <v>236</v>
      </c>
      <c r="S27" s="5" t="s">
        <v>214</v>
      </c>
      <c r="T27" s="9" t="s">
        <v>33</v>
      </c>
      <c r="U27" s="5" t="s">
        <v>34</v>
      </c>
      <c r="V27" s="9" t="s">
        <v>237</v>
      </c>
      <c r="W27" s="5" t="s">
        <v>214</v>
      </c>
      <c r="X27" s="9" t="s">
        <v>73</v>
      </c>
      <c r="Y27" s="9" t="s">
        <v>238</v>
      </c>
    </row>
    <row r="28" spans="1:25" ht="40" x14ac:dyDescent="0.35">
      <c r="A28" s="8" t="s">
        <v>210</v>
      </c>
      <c r="B28" s="8" t="s">
        <v>211</v>
      </c>
      <c r="C28" s="9" t="s">
        <v>239</v>
      </c>
      <c r="D28" s="9" t="s">
        <v>240</v>
      </c>
      <c r="E28" s="5" t="s">
        <v>214</v>
      </c>
      <c r="F28" s="9" t="s">
        <v>33</v>
      </c>
      <c r="G28" s="5" t="s">
        <v>34</v>
      </c>
      <c r="H28" s="9" t="s">
        <v>33</v>
      </c>
      <c r="I28" s="5" t="s">
        <v>34</v>
      </c>
      <c r="J28" s="9" t="s">
        <v>233</v>
      </c>
      <c r="K28" s="5" t="s">
        <v>214</v>
      </c>
      <c r="L28" s="9" t="s">
        <v>56</v>
      </c>
      <c r="M28" s="5" t="s">
        <v>214</v>
      </c>
      <c r="N28" s="9" t="s">
        <v>241</v>
      </c>
      <c r="O28" s="5" t="s">
        <v>214</v>
      </c>
      <c r="P28" s="9" t="s">
        <v>33</v>
      </c>
      <c r="Q28" s="5" t="s">
        <v>34</v>
      </c>
      <c r="R28" s="9" t="s">
        <v>242</v>
      </c>
      <c r="S28" s="5" t="s">
        <v>214</v>
      </c>
      <c r="T28" s="9" t="s">
        <v>33</v>
      </c>
      <c r="U28" s="5" t="s">
        <v>34</v>
      </c>
      <c r="V28" s="9" t="s">
        <v>229</v>
      </c>
      <c r="W28" s="5" t="s">
        <v>214</v>
      </c>
      <c r="X28" s="9" t="s">
        <v>73</v>
      </c>
      <c r="Y28" s="9"/>
    </row>
    <row r="29" spans="1:25" ht="40" x14ac:dyDescent="0.35">
      <c r="A29" s="8" t="s">
        <v>210</v>
      </c>
      <c r="B29" s="8" t="s">
        <v>211</v>
      </c>
      <c r="C29" s="9" t="s">
        <v>243</v>
      </c>
      <c r="D29" s="9" t="s">
        <v>244</v>
      </c>
      <c r="E29" s="5" t="s">
        <v>214</v>
      </c>
      <c r="F29" s="9" t="s">
        <v>33</v>
      </c>
      <c r="G29" s="5" t="s">
        <v>34</v>
      </c>
      <c r="H29" s="9" t="s">
        <v>33</v>
      </c>
      <c r="I29" s="5" t="s">
        <v>34</v>
      </c>
      <c r="J29" s="9" t="s">
        <v>245</v>
      </c>
      <c r="K29" s="5" t="s">
        <v>214</v>
      </c>
      <c r="L29" s="9" t="s">
        <v>246</v>
      </c>
      <c r="M29" s="5" t="s">
        <v>214</v>
      </c>
      <c r="N29" s="9" t="s">
        <v>247</v>
      </c>
      <c r="O29" s="5" t="s">
        <v>214</v>
      </c>
      <c r="P29" s="9" t="s">
        <v>33</v>
      </c>
      <c r="Q29" s="5" t="s">
        <v>34</v>
      </c>
      <c r="R29" s="9" t="s">
        <v>248</v>
      </c>
      <c r="S29" s="5" t="s">
        <v>214</v>
      </c>
      <c r="T29" s="9" t="s">
        <v>33</v>
      </c>
      <c r="U29" s="5" t="s">
        <v>34</v>
      </c>
      <c r="V29" s="9" t="s">
        <v>237</v>
      </c>
      <c r="W29" s="5" t="s">
        <v>214</v>
      </c>
      <c r="X29" s="9" t="s">
        <v>73</v>
      </c>
      <c r="Y29" s="9"/>
    </row>
    <row r="30" spans="1:25" ht="46" x14ac:dyDescent="0.35">
      <c r="A30" s="8" t="s">
        <v>210</v>
      </c>
      <c r="B30" s="8" t="s">
        <v>211</v>
      </c>
      <c r="C30" s="9" t="s">
        <v>249</v>
      </c>
      <c r="D30" s="9" t="s">
        <v>250</v>
      </c>
      <c r="E30" s="5" t="s">
        <v>214</v>
      </c>
      <c r="F30" s="9" t="s">
        <v>33</v>
      </c>
      <c r="G30" s="5" t="s">
        <v>34</v>
      </c>
      <c r="H30" s="9" t="s">
        <v>33</v>
      </c>
      <c r="I30" s="5" t="s">
        <v>34</v>
      </c>
      <c r="J30" s="9" t="s">
        <v>251</v>
      </c>
      <c r="K30" s="5" t="s">
        <v>214</v>
      </c>
      <c r="L30" s="9" t="s">
        <v>56</v>
      </c>
      <c r="M30" s="5" t="s">
        <v>214</v>
      </c>
      <c r="N30" s="9" t="s">
        <v>204</v>
      </c>
      <c r="O30" s="5" t="s">
        <v>214</v>
      </c>
      <c r="P30" s="9" t="s">
        <v>252</v>
      </c>
      <c r="Q30" s="5" t="s">
        <v>214</v>
      </c>
      <c r="R30" s="9" t="s">
        <v>33</v>
      </c>
      <c r="S30" s="5" t="s">
        <v>34</v>
      </c>
      <c r="T30" s="9" t="s">
        <v>253</v>
      </c>
      <c r="U30" s="5" t="s">
        <v>214</v>
      </c>
      <c r="V30" s="9" t="s">
        <v>208</v>
      </c>
      <c r="W30" s="5" t="s">
        <v>214</v>
      </c>
      <c r="X30" s="9" t="s">
        <v>73</v>
      </c>
      <c r="Y30" s="9" t="s">
        <v>254</v>
      </c>
    </row>
    <row r="31" spans="1:25" ht="80" x14ac:dyDescent="0.35">
      <c r="A31" s="3" t="s">
        <v>255</v>
      </c>
      <c r="B31" s="3" t="s">
        <v>256</v>
      </c>
      <c r="C31" s="4" t="s">
        <v>257</v>
      </c>
      <c r="D31" s="4" t="s">
        <v>258</v>
      </c>
      <c r="E31" s="5" t="s">
        <v>259</v>
      </c>
      <c r="F31" s="4" t="s">
        <v>32</v>
      </c>
      <c r="G31" s="5" t="s">
        <v>260</v>
      </c>
      <c r="H31" s="4" t="s">
        <v>261</v>
      </c>
      <c r="I31" s="5" t="s">
        <v>262</v>
      </c>
      <c r="J31" s="4" t="s">
        <v>263</v>
      </c>
      <c r="K31" s="5" t="s">
        <v>260</v>
      </c>
      <c r="L31" s="4" t="s">
        <v>264</v>
      </c>
      <c r="M31" s="5" t="s">
        <v>259</v>
      </c>
      <c r="N31" s="4" t="s">
        <v>265</v>
      </c>
      <c r="O31" s="5" t="s">
        <v>259</v>
      </c>
      <c r="P31" s="4" t="s">
        <v>266</v>
      </c>
      <c r="Q31" s="5" t="s">
        <v>259</v>
      </c>
      <c r="R31" s="4" t="s">
        <v>267</v>
      </c>
      <c r="S31" s="5" t="s">
        <v>262</v>
      </c>
      <c r="T31" s="4" t="s">
        <v>268</v>
      </c>
      <c r="U31" s="5" t="s">
        <v>262</v>
      </c>
      <c r="V31" s="4" t="s">
        <v>269</v>
      </c>
      <c r="W31" s="5" t="s">
        <v>259</v>
      </c>
      <c r="X31" s="4" t="s">
        <v>43</v>
      </c>
      <c r="Y31" s="4" t="s">
        <v>270</v>
      </c>
    </row>
    <row r="32" spans="1:25" ht="40" x14ac:dyDescent="0.35">
      <c r="A32" s="8" t="s">
        <v>271</v>
      </c>
      <c r="B32" s="8" t="s">
        <v>272</v>
      </c>
      <c r="C32" s="9" t="s">
        <v>273</v>
      </c>
      <c r="D32" s="9" t="s">
        <v>274</v>
      </c>
      <c r="E32" s="5" t="s">
        <v>275</v>
      </c>
      <c r="F32" s="9" t="s">
        <v>276</v>
      </c>
      <c r="G32" s="5" t="s">
        <v>275</v>
      </c>
      <c r="H32" s="9" t="s">
        <v>277</v>
      </c>
      <c r="I32" s="5" t="s">
        <v>275</v>
      </c>
      <c r="J32" s="9" t="s">
        <v>278</v>
      </c>
      <c r="K32" s="5" t="s">
        <v>275</v>
      </c>
      <c r="L32" s="9" t="s">
        <v>279</v>
      </c>
      <c r="M32" s="5" t="s">
        <v>34</v>
      </c>
      <c r="N32" s="9" t="s">
        <v>280</v>
      </c>
      <c r="O32" s="5" t="s">
        <v>281</v>
      </c>
      <c r="P32" s="9" t="s">
        <v>33</v>
      </c>
      <c r="Q32" s="5" t="s">
        <v>34</v>
      </c>
      <c r="R32" s="9" t="s">
        <v>282</v>
      </c>
      <c r="S32" s="5" t="s">
        <v>281</v>
      </c>
      <c r="T32" s="9" t="s">
        <v>283</v>
      </c>
      <c r="U32" s="5" t="s">
        <v>34</v>
      </c>
      <c r="V32" s="9" t="s">
        <v>284</v>
      </c>
      <c r="W32" s="5" t="s">
        <v>281</v>
      </c>
      <c r="X32" s="9" t="s">
        <v>73</v>
      </c>
      <c r="Y32" s="9" t="s">
        <v>285</v>
      </c>
    </row>
    <row r="33" spans="1:25" ht="70" x14ac:dyDescent="0.35">
      <c r="A33" s="8" t="s">
        <v>271</v>
      </c>
      <c r="B33" s="8" t="s">
        <v>272</v>
      </c>
      <c r="C33" s="9" t="s">
        <v>286</v>
      </c>
      <c r="D33" s="9" t="s">
        <v>287</v>
      </c>
      <c r="E33" s="5" t="s">
        <v>275</v>
      </c>
      <c r="F33" s="9" t="s">
        <v>276</v>
      </c>
      <c r="G33" s="5" t="s">
        <v>275</v>
      </c>
      <c r="H33" s="9" t="s">
        <v>288</v>
      </c>
      <c r="I33" s="5" t="s">
        <v>275</v>
      </c>
      <c r="J33" s="9" t="s">
        <v>289</v>
      </c>
      <c r="K33" s="5" t="s">
        <v>290</v>
      </c>
      <c r="L33" s="9" t="s">
        <v>291</v>
      </c>
      <c r="M33" s="5" t="s">
        <v>281</v>
      </c>
      <c r="N33" s="9" t="s">
        <v>33</v>
      </c>
      <c r="O33" s="5" t="s">
        <v>34</v>
      </c>
      <c r="P33" s="9" t="s">
        <v>292</v>
      </c>
      <c r="Q33" s="5" t="s">
        <v>290</v>
      </c>
      <c r="R33" s="9" t="s">
        <v>293</v>
      </c>
      <c r="S33" s="5" t="s">
        <v>290</v>
      </c>
      <c r="T33" s="9" t="s">
        <v>33</v>
      </c>
      <c r="U33" s="5" t="s">
        <v>34</v>
      </c>
      <c r="V33" s="9" t="s">
        <v>33</v>
      </c>
      <c r="W33" s="5" t="s">
        <v>34</v>
      </c>
      <c r="X33" s="9" t="s">
        <v>73</v>
      </c>
      <c r="Y33" s="9" t="s">
        <v>294</v>
      </c>
    </row>
    <row r="34" spans="1:25" ht="46" x14ac:dyDescent="0.35">
      <c r="A34" s="8" t="s">
        <v>271</v>
      </c>
      <c r="B34" s="8" t="s">
        <v>272</v>
      </c>
      <c r="C34" s="9" t="s">
        <v>295</v>
      </c>
      <c r="D34" s="9" t="s">
        <v>296</v>
      </c>
      <c r="E34" s="5" t="s">
        <v>275</v>
      </c>
      <c r="F34" s="9" t="s">
        <v>297</v>
      </c>
      <c r="G34" s="5" t="s">
        <v>275</v>
      </c>
      <c r="H34" s="9" t="s">
        <v>298</v>
      </c>
      <c r="I34" s="5" t="s">
        <v>275</v>
      </c>
      <c r="J34" s="9" t="s">
        <v>299</v>
      </c>
      <c r="K34" s="5" t="s">
        <v>275</v>
      </c>
      <c r="L34" s="9" t="s">
        <v>33</v>
      </c>
      <c r="M34" s="5" t="s">
        <v>34</v>
      </c>
      <c r="N34" s="9" t="s">
        <v>33</v>
      </c>
      <c r="O34" s="5" t="s">
        <v>34</v>
      </c>
      <c r="P34" s="9" t="s">
        <v>33</v>
      </c>
      <c r="Q34" s="5" t="s">
        <v>34</v>
      </c>
      <c r="R34" s="9" t="s">
        <v>33</v>
      </c>
      <c r="S34" s="5" t="s">
        <v>34</v>
      </c>
      <c r="T34" s="9" t="s">
        <v>33</v>
      </c>
      <c r="U34" s="5" t="s">
        <v>34</v>
      </c>
      <c r="V34" s="9" t="s">
        <v>33</v>
      </c>
      <c r="W34" s="5" t="s">
        <v>34</v>
      </c>
      <c r="X34" s="9" t="s">
        <v>73</v>
      </c>
      <c r="Y34" s="9"/>
    </row>
    <row r="35" spans="1:25" ht="50" x14ac:dyDescent="0.35">
      <c r="A35" s="8" t="s">
        <v>271</v>
      </c>
      <c r="B35" s="8" t="s">
        <v>272</v>
      </c>
      <c r="C35" s="9" t="s">
        <v>300</v>
      </c>
      <c r="D35" s="9" t="s">
        <v>301</v>
      </c>
      <c r="E35" s="5" t="s">
        <v>275</v>
      </c>
      <c r="F35" s="9" t="s">
        <v>302</v>
      </c>
      <c r="G35" s="5" t="s">
        <v>275</v>
      </c>
      <c r="H35" s="9" t="s">
        <v>303</v>
      </c>
      <c r="I35" s="5" t="s">
        <v>275</v>
      </c>
      <c r="J35" s="9" t="s">
        <v>304</v>
      </c>
      <c r="K35" s="5" t="s">
        <v>275</v>
      </c>
      <c r="L35" s="9" t="s">
        <v>33</v>
      </c>
      <c r="M35" s="5" t="s">
        <v>34</v>
      </c>
      <c r="N35" s="9" t="s">
        <v>305</v>
      </c>
      <c r="O35" s="5" t="s">
        <v>281</v>
      </c>
      <c r="P35" s="9" t="s">
        <v>306</v>
      </c>
      <c r="Q35" s="5" t="s">
        <v>307</v>
      </c>
      <c r="R35" s="9" t="s">
        <v>308</v>
      </c>
      <c r="S35" s="5" t="s">
        <v>281</v>
      </c>
      <c r="T35" s="9" t="s">
        <v>33</v>
      </c>
      <c r="U35" s="5" t="s">
        <v>34</v>
      </c>
      <c r="V35" s="9" t="s">
        <v>33</v>
      </c>
      <c r="W35" s="5" t="s">
        <v>34</v>
      </c>
      <c r="X35" s="6" t="s">
        <v>59</v>
      </c>
      <c r="Y35" s="9" t="s">
        <v>309</v>
      </c>
    </row>
    <row r="36" spans="1:25" ht="46" x14ac:dyDescent="0.35">
      <c r="A36" s="8" t="s">
        <v>271</v>
      </c>
      <c r="B36" s="8" t="s">
        <v>272</v>
      </c>
      <c r="C36" s="9" t="s">
        <v>310</v>
      </c>
      <c r="D36" s="9" t="s">
        <v>311</v>
      </c>
      <c r="E36" s="5" t="s">
        <v>275</v>
      </c>
      <c r="F36" s="9" t="s">
        <v>312</v>
      </c>
      <c r="G36" s="5" t="s">
        <v>275</v>
      </c>
      <c r="H36" s="9" t="s">
        <v>313</v>
      </c>
      <c r="I36" s="5" t="s">
        <v>275</v>
      </c>
      <c r="J36" s="9" t="s">
        <v>314</v>
      </c>
      <c r="K36" s="5" t="s">
        <v>275</v>
      </c>
      <c r="L36" s="9" t="s">
        <v>33</v>
      </c>
      <c r="M36" s="5" t="s">
        <v>34</v>
      </c>
      <c r="N36" s="9" t="s">
        <v>33</v>
      </c>
      <c r="O36" s="5" t="s">
        <v>34</v>
      </c>
      <c r="P36" s="9" t="s">
        <v>33</v>
      </c>
      <c r="Q36" s="5" t="s">
        <v>34</v>
      </c>
      <c r="R36" s="9" t="s">
        <v>33</v>
      </c>
      <c r="S36" s="5" t="s">
        <v>34</v>
      </c>
      <c r="T36" s="9" t="s">
        <v>33</v>
      </c>
      <c r="U36" s="5" t="s">
        <v>34</v>
      </c>
      <c r="V36" s="9" t="s">
        <v>33</v>
      </c>
      <c r="W36" s="5" t="s">
        <v>34</v>
      </c>
      <c r="X36" s="9" t="s">
        <v>73</v>
      </c>
      <c r="Y36" s="9"/>
    </row>
    <row r="37" spans="1:25" ht="40" x14ac:dyDescent="0.35">
      <c r="A37" s="8" t="s">
        <v>271</v>
      </c>
      <c r="B37" s="8" t="s">
        <v>272</v>
      </c>
      <c r="C37" s="9" t="s">
        <v>315</v>
      </c>
      <c r="D37" s="9" t="s">
        <v>316</v>
      </c>
      <c r="E37" s="5" t="s">
        <v>275</v>
      </c>
      <c r="F37" s="9" t="s">
        <v>33</v>
      </c>
      <c r="G37" s="5" t="s">
        <v>34</v>
      </c>
      <c r="H37" s="9" t="s">
        <v>317</v>
      </c>
      <c r="I37" s="5" t="s">
        <v>275</v>
      </c>
      <c r="J37" s="9" t="s">
        <v>318</v>
      </c>
      <c r="K37" s="5" t="s">
        <v>275</v>
      </c>
      <c r="L37" s="9" t="s">
        <v>33</v>
      </c>
      <c r="M37" s="5" t="s">
        <v>34</v>
      </c>
      <c r="N37" s="9" t="s">
        <v>33</v>
      </c>
      <c r="O37" s="5" t="s">
        <v>34</v>
      </c>
      <c r="P37" s="9" t="s">
        <v>33</v>
      </c>
      <c r="Q37" s="5" t="s">
        <v>34</v>
      </c>
      <c r="R37" s="9" t="s">
        <v>33</v>
      </c>
      <c r="S37" s="5" t="s">
        <v>34</v>
      </c>
      <c r="T37" s="9" t="s">
        <v>33</v>
      </c>
      <c r="U37" s="5" t="s">
        <v>34</v>
      </c>
      <c r="V37" s="9" t="s">
        <v>33</v>
      </c>
      <c r="W37" s="5" t="s">
        <v>34</v>
      </c>
      <c r="X37" s="9" t="s">
        <v>73</v>
      </c>
      <c r="Y37" s="9" t="s">
        <v>319</v>
      </c>
    </row>
    <row r="38" spans="1:25" ht="40" x14ac:dyDescent="0.35">
      <c r="A38" s="8" t="s">
        <v>271</v>
      </c>
      <c r="B38" s="8" t="s">
        <v>272</v>
      </c>
      <c r="C38" s="9" t="s">
        <v>320</v>
      </c>
      <c r="D38" s="9" t="s">
        <v>316</v>
      </c>
      <c r="E38" s="5" t="s">
        <v>275</v>
      </c>
      <c r="F38" s="9" t="s">
        <v>33</v>
      </c>
      <c r="G38" s="5" t="s">
        <v>34</v>
      </c>
      <c r="H38" s="9" t="s">
        <v>321</v>
      </c>
      <c r="I38" s="5" t="s">
        <v>275</v>
      </c>
      <c r="J38" s="9" t="s">
        <v>322</v>
      </c>
      <c r="K38" s="5" t="s">
        <v>275</v>
      </c>
      <c r="L38" s="9" t="s">
        <v>33</v>
      </c>
      <c r="M38" s="5" t="s">
        <v>34</v>
      </c>
      <c r="N38" s="9" t="s">
        <v>33</v>
      </c>
      <c r="O38" s="5" t="s">
        <v>34</v>
      </c>
      <c r="P38" s="9" t="s">
        <v>33</v>
      </c>
      <c r="Q38" s="5" t="s">
        <v>34</v>
      </c>
      <c r="R38" s="9" t="s">
        <v>33</v>
      </c>
      <c r="S38" s="5" t="s">
        <v>34</v>
      </c>
      <c r="T38" s="9" t="s">
        <v>33</v>
      </c>
      <c r="U38" s="5" t="s">
        <v>34</v>
      </c>
      <c r="V38" s="9" t="s">
        <v>33</v>
      </c>
      <c r="W38" s="5" t="s">
        <v>34</v>
      </c>
      <c r="X38" s="9" t="s">
        <v>73</v>
      </c>
      <c r="Y38" s="9"/>
    </row>
    <row r="39" spans="1:25" ht="40" x14ac:dyDescent="0.35">
      <c r="A39" s="8" t="s">
        <v>271</v>
      </c>
      <c r="B39" s="8" t="s">
        <v>272</v>
      </c>
      <c r="C39" s="9" t="s">
        <v>323</v>
      </c>
      <c r="D39" s="9" t="s">
        <v>324</v>
      </c>
      <c r="E39" s="5" t="s">
        <v>275</v>
      </c>
      <c r="F39" s="9" t="s">
        <v>325</v>
      </c>
      <c r="G39" s="5" t="s">
        <v>275</v>
      </c>
      <c r="H39" s="9" t="s">
        <v>326</v>
      </c>
      <c r="I39" s="5" t="s">
        <v>275</v>
      </c>
      <c r="J39" s="9" t="s">
        <v>304</v>
      </c>
      <c r="K39" s="5" t="s">
        <v>275</v>
      </c>
      <c r="L39" s="9" t="s">
        <v>33</v>
      </c>
      <c r="M39" s="5" t="s">
        <v>34</v>
      </c>
      <c r="N39" s="9" t="s">
        <v>33</v>
      </c>
      <c r="O39" s="5" t="s">
        <v>34</v>
      </c>
      <c r="P39" s="9" t="s">
        <v>33</v>
      </c>
      <c r="Q39" s="5" t="s">
        <v>34</v>
      </c>
      <c r="R39" s="9" t="s">
        <v>33</v>
      </c>
      <c r="S39" s="5" t="s">
        <v>34</v>
      </c>
      <c r="T39" s="9" t="s">
        <v>33</v>
      </c>
      <c r="U39" s="5" t="s">
        <v>34</v>
      </c>
      <c r="V39" s="9" t="s">
        <v>33</v>
      </c>
      <c r="W39" s="5" t="s">
        <v>34</v>
      </c>
      <c r="X39" s="9" t="s">
        <v>73</v>
      </c>
      <c r="Y39" s="9"/>
    </row>
    <row r="40" spans="1:25" ht="40" x14ac:dyDescent="0.35">
      <c r="A40" s="8" t="s">
        <v>271</v>
      </c>
      <c r="B40" s="8" t="s">
        <v>272</v>
      </c>
      <c r="C40" s="9" t="s">
        <v>327</v>
      </c>
      <c r="D40" s="9" t="s">
        <v>328</v>
      </c>
      <c r="E40" s="5" t="s">
        <v>275</v>
      </c>
      <c r="F40" s="9" t="s">
        <v>276</v>
      </c>
      <c r="G40" s="5" t="s">
        <v>275</v>
      </c>
      <c r="H40" s="9" t="s">
        <v>329</v>
      </c>
      <c r="I40" s="5" t="s">
        <v>275</v>
      </c>
      <c r="J40" s="9" t="s">
        <v>330</v>
      </c>
      <c r="K40" s="5" t="s">
        <v>275</v>
      </c>
      <c r="L40" s="9" t="s">
        <v>33</v>
      </c>
      <c r="M40" s="5" t="s">
        <v>34</v>
      </c>
      <c r="N40" s="9" t="s">
        <v>33</v>
      </c>
      <c r="O40" s="5" t="s">
        <v>34</v>
      </c>
      <c r="P40" s="9" t="s">
        <v>33</v>
      </c>
      <c r="Q40" s="5" t="s">
        <v>34</v>
      </c>
      <c r="R40" s="9" t="s">
        <v>33</v>
      </c>
      <c r="S40" s="5" t="s">
        <v>34</v>
      </c>
      <c r="T40" s="9" t="s">
        <v>33</v>
      </c>
      <c r="U40" s="5" t="s">
        <v>34</v>
      </c>
      <c r="V40" s="9" t="s">
        <v>33</v>
      </c>
      <c r="W40" s="5" t="s">
        <v>34</v>
      </c>
      <c r="X40" s="9" t="s">
        <v>73</v>
      </c>
      <c r="Y40" s="9" t="s">
        <v>331</v>
      </c>
    </row>
    <row r="41" spans="1:25" ht="46" x14ac:dyDescent="0.35">
      <c r="A41" s="8" t="s">
        <v>271</v>
      </c>
      <c r="B41" s="8" t="s">
        <v>272</v>
      </c>
      <c r="C41" s="9" t="s">
        <v>332</v>
      </c>
      <c r="D41" s="9" t="s">
        <v>333</v>
      </c>
      <c r="E41" s="5" t="s">
        <v>275</v>
      </c>
      <c r="F41" s="9" t="s">
        <v>312</v>
      </c>
      <c r="G41" s="5" t="s">
        <v>275</v>
      </c>
      <c r="H41" s="9" t="s">
        <v>334</v>
      </c>
      <c r="I41" s="5" t="s">
        <v>275</v>
      </c>
      <c r="J41" s="9" t="s">
        <v>335</v>
      </c>
      <c r="K41" s="5" t="s">
        <v>275</v>
      </c>
      <c r="L41" s="9" t="s">
        <v>33</v>
      </c>
      <c r="M41" s="5" t="s">
        <v>34</v>
      </c>
      <c r="N41" s="9" t="s">
        <v>33</v>
      </c>
      <c r="O41" s="5" t="s">
        <v>34</v>
      </c>
      <c r="P41" s="9" t="s">
        <v>33</v>
      </c>
      <c r="Q41" s="5" t="s">
        <v>34</v>
      </c>
      <c r="R41" s="9" t="s">
        <v>33</v>
      </c>
      <c r="S41" s="5" t="s">
        <v>34</v>
      </c>
      <c r="T41" s="9" t="s">
        <v>33</v>
      </c>
      <c r="U41" s="5" t="s">
        <v>34</v>
      </c>
      <c r="V41" s="9" t="s">
        <v>33</v>
      </c>
      <c r="W41" s="5" t="s">
        <v>34</v>
      </c>
      <c r="X41" s="9" t="s">
        <v>73</v>
      </c>
      <c r="Y41" s="9" t="s">
        <v>336</v>
      </c>
    </row>
    <row r="42" spans="1:25" ht="80" x14ac:dyDescent="0.35">
      <c r="A42" s="3" t="s">
        <v>337</v>
      </c>
      <c r="B42" s="3" t="s">
        <v>338</v>
      </c>
      <c r="C42" s="4" t="s">
        <v>339</v>
      </c>
      <c r="D42" s="4" t="s">
        <v>340</v>
      </c>
      <c r="E42" s="5" t="s">
        <v>341</v>
      </c>
      <c r="F42" s="4" t="s">
        <v>33</v>
      </c>
      <c r="G42" s="5" t="s">
        <v>34</v>
      </c>
      <c r="H42" s="4" t="s">
        <v>33</v>
      </c>
      <c r="I42" s="5" t="s">
        <v>34</v>
      </c>
      <c r="J42" s="4" t="s">
        <v>342</v>
      </c>
      <c r="K42" s="5" t="s">
        <v>341</v>
      </c>
      <c r="L42" s="4" t="s">
        <v>343</v>
      </c>
      <c r="M42" s="5" t="s">
        <v>341</v>
      </c>
      <c r="N42" s="4" t="s">
        <v>344</v>
      </c>
      <c r="O42" s="5" t="s">
        <v>345</v>
      </c>
      <c r="P42" s="4" t="s">
        <v>346</v>
      </c>
      <c r="Q42" s="5" t="s">
        <v>347</v>
      </c>
      <c r="R42" s="4" t="s">
        <v>348</v>
      </c>
      <c r="S42" s="5" t="s">
        <v>349</v>
      </c>
      <c r="T42" s="4" t="s">
        <v>350</v>
      </c>
      <c r="U42" s="5" t="s">
        <v>341</v>
      </c>
      <c r="V42" s="4" t="s">
        <v>351</v>
      </c>
      <c r="W42" s="5" t="s">
        <v>345</v>
      </c>
      <c r="X42" s="4" t="s">
        <v>43</v>
      </c>
      <c r="Y42" s="4" t="s">
        <v>352</v>
      </c>
    </row>
    <row r="43" spans="1:25" ht="80.5" x14ac:dyDescent="0.35">
      <c r="A43" s="3" t="s">
        <v>337</v>
      </c>
      <c r="B43" s="3" t="s">
        <v>338</v>
      </c>
      <c r="C43" s="4" t="s">
        <v>353</v>
      </c>
      <c r="D43" s="4" t="s">
        <v>354</v>
      </c>
      <c r="E43" s="5" t="s">
        <v>341</v>
      </c>
      <c r="F43" s="4" t="s">
        <v>32</v>
      </c>
      <c r="G43" s="5" t="s">
        <v>341</v>
      </c>
      <c r="H43" s="4" t="s">
        <v>355</v>
      </c>
      <c r="I43" s="5" t="s">
        <v>341</v>
      </c>
      <c r="J43" s="4" t="s">
        <v>356</v>
      </c>
      <c r="K43" s="5" t="s">
        <v>341</v>
      </c>
      <c r="L43" s="4" t="s">
        <v>357</v>
      </c>
      <c r="M43" s="5" t="s">
        <v>341</v>
      </c>
      <c r="N43" s="4" t="s">
        <v>358</v>
      </c>
      <c r="O43" s="5" t="s">
        <v>341</v>
      </c>
      <c r="P43" s="4" t="s">
        <v>33</v>
      </c>
      <c r="Q43" s="5" t="s">
        <v>34</v>
      </c>
      <c r="R43" s="4" t="s">
        <v>359</v>
      </c>
      <c r="S43" s="5" t="s">
        <v>341</v>
      </c>
      <c r="T43" s="4" t="s">
        <v>360</v>
      </c>
      <c r="U43" s="5" t="s">
        <v>341</v>
      </c>
      <c r="V43" s="4" t="s">
        <v>361</v>
      </c>
      <c r="W43" s="5" t="s">
        <v>341</v>
      </c>
      <c r="X43" s="4" t="s">
        <v>73</v>
      </c>
      <c r="Y43" s="4" t="s">
        <v>362</v>
      </c>
    </row>
    <row r="44" spans="1:25" ht="50" x14ac:dyDescent="0.35">
      <c r="A44" s="3" t="s">
        <v>337</v>
      </c>
      <c r="B44" s="3" t="s">
        <v>338</v>
      </c>
      <c r="C44" s="4" t="s">
        <v>363</v>
      </c>
      <c r="D44" s="4" t="s">
        <v>364</v>
      </c>
      <c r="E44" s="5" t="s">
        <v>341</v>
      </c>
      <c r="F44" s="4" t="s">
        <v>32</v>
      </c>
      <c r="G44" s="5" t="s">
        <v>341</v>
      </c>
      <c r="H44" s="4" t="s">
        <v>355</v>
      </c>
      <c r="I44" s="5" t="s">
        <v>341</v>
      </c>
      <c r="J44" s="4" t="s">
        <v>365</v>
      </c>
      <c r="K44" s="5" t="s">
        <v>341</v>
      </c>
      <c r="L44" s="4" t="s">
        <v>366</v>
      </c>
      <c r="M44" s="5" t="s">
        <v>341</v>
      </c>
      <c r="N44" s="4" t="s">
        <v>33</v>
      </c>
      <c r="O44" s="5" t="s">
        <v>34</v>
      </c>
      <c r="P44" s="4" t="s">
        <v>33</v>
      </c>
      <c r="Q44" s="5" t="s">
        <v>34</v>
      </c>
      <c r="R44" s="4" t="s">
        <v>33</v>
      </c>
      <c r="S44" s="5" t="s">
        <v>34</v>
      </c>
      <c r="T44" s="4" t="s">
        <v>367</v>
      </c>
      <c r="U44" s="5" t="s">
        <v>341</v>
      </c>
      <c r="V44" s="4" t="s">
        <v>33</v>
      </c>
      <c r="W44" s="5" t="s">
        <v>34</v>
      </c>
      <c r="X44" s="4" t="s">
        <v>73</v>
      </c>
      <c r="Y44" s="4" t="s">
        <v>368</v>
      </c>
    </row>
    <row r="45" spans="1:25" ht="50" x14ac:dyDescent="0.35">
      <c r="A45" s="3" t="s">
        <v>337</v>
      </c>
      <c r="B45" s="3" t="s">
        <v>338</v>
      </c>
      <c r="C45" s="4" t="s">
        <v>369</v>
      </c>
      <c r="D45" s="4" t="s">
        <v>370</v>
      </c>
      <c r="E45" s="5" t="s">
        <v>341</v>
      </c>
      <c r="F45" s="4" t="s">
        <v>32</v>
      </c>
      <c r="G45" s="5" t="s">
        <v>341</v>
      </c>
      <c r="H45" s="4" t="s">
        <v>371</v>
      </c>
      <c r="I45" s="5" t="s">
        <v>341</v>
      </c>
      <c r="J45" s="4" t="s">
        <v>372</v>
      </c>
      <c r="K45" s="5" t="s">
        <v>341</v>
      </c>
      <c r="L45" s="4" t="s">
        <v>373</v>
      </c>
      <c r="M45" s="5" t="s">
        <v>341</v>
      </c>
      <c r="N45" s="4" t="s">
        <v>33</v>
      </c>
      <c r="O45" s="5" t="s">
        <v>34</v>
      </c>
      <c r="P45" s="4" t="s">
        <v>33</v>
      </c>
      <c r="Q45" s="5" t="s">
        <v>34</v>
      </c>
      <c r="R45" s="4" t="s">
        <v>33</v>
      </c>
      <c r="S45" s="5" t="s">
        <v>34</v>
      </c>
      <c r="T45" s="4" t="s">
        <v>367</v>
      </c>
      <c r="U45" s="5" t="s">
        <v>341</v>
      </c>
      <c r="V45" s="4" t="s">
        <v>374</v>
      </c>
      <c r="W45" s="5" t="s">
        <v>341</v>
      </c>
      <c r="X45" s="4" t="s">
        <v>73</v>
      </c>
      <c r="Y45" s="4"/>
    </row>
    <row r="46" spans="1:25" ht="50" x14ac:dyDescent="0.35">
      <c r="A46" s="3" t="s">
        <v>337</v>
      </c>
      <c r="B46" s="3" t="s">
        <v>338</v>
      </c>
      <c r="C46" s="4" t="s">
        <v>375</v>
      </c>
      <c r="D46" s="4" t="s">
        <v>376</v>
      </c>
      <c r="E46" s="5" t="s">
        <v>341</v>
      </c>
      <c r="F46" s="4" t="s">
        <v>201</v>
      </c>
      <c r="G46" s="5" t="s">
        <v>341</v>
      </c>
      <c r="H46" s="4" t="s">
        <v>377</v>
      </c>
      <c r="I46" s="5" t="s">
        <v>341</v>
      </c>
      <c r="J46" s="4" t="s">
        <v>378</v>
      </c>
      <c r="K46" s="5" t="s">
        <v>341</v>
      </c>
      <c r="L46" s="4" t="s">
        <v>366</v>
      </c>
      <c r="M46" s="5" t="s">
        <v>341</v>
      </c>
      <c r="N46" s="4" t="s">
        <v>33</v>
      </c>
      <c r="O46" s="5" t="s">
        <v>34</v>
      </c>
      <c r="P46" s="4" t="s">
        <v>33</v>
      </c>
      <c r="Q46" s="5" t="s">
        <v>34</v>
      </c>
      <c r="R46" s="4" t="s">
        <v>33</v>
      </c>
      <c r="S46" s="5" t="s">
        <v>34</v>
      </c>
      <c r="T46" s="4" t="s">
        <v>367</v>
      </c>
      <c r="U46" s="5" t="s">
        <v>341</v>
      </c>
      <c r="V46" s="4" t="s">
        <v>374</v>
      </c>
      <c r="W46" s="5" t="s">
        <v>341</v>
      </c>
      <c r="X46" s="4" t="s">
        <v>73</v>
      </c>
      <c r="Y46" s="4"/>
    </row>
    <row r="47" spans="1:25" ht="50" x14ac:dyDescent="0.35">
      <c r="A47" s="3" t="s">
        <v>337</v>
      </c>
      <c r="B47" s="3" t="s">
        <v>338</v>
      </c>
      <c r="C47" s="4" t="s">
        <v>379</v>
      </c>
      <c r="D47" s="4" t="s">
        <v>380</v>
      </c>
      <c r="E47" s="5" t="s">
        <v>341</v>
      </c>
      <c r="F47" s="4" t="s">
        <v>381</v>
      </c>
      <c r="G47" s="5" t="s">
        <v>341</v>
      </c>
      <c r="H47" s="4" t="s">
        <v>382</v>
      </c>
      <c r="I47" s="5" t="s">
        <v>341</v>
      </c>
      <c r="J47" s="4" t="s">
        <v>383</v>
      </c>
      <c r="K47" s="5" t="s">
        <v>341</v>
      </c>
      <c r="L47" s="4" t="s">
        <v>366</v>
      </c>
      <c r="M47" s="5" t="s">
        <v>341</v>
      </c>
      <c r="N47" s="4" t="s">
        <v>33</v>
      </c>
      <c r="O47" s="5" t="s">
        <v>34</v>
      </c>
      <c r="P47" s="4" t="s">
        <v>33</v>
      </c>
      <c r="Q47" s="5" t="s">
        <v>34</v>
      </c>
      <c r="R47" s="4" t="s">
        <v>33</v>
      </c>
      <c r="S47" s="5" t="s">
        <v>34</v>
      </c>
      <c r="T47" s="4" t="s">
        <v>367</v>
      </c>
      <c r="U47" s="5" t="s">
        <v>341</v>
      </c>
      <c r="V47" s="4" t="s">
        <v>374</v>
      </c>
      <c r="W47" s="5" t="s">
        <v>341</v>
      </c>
      <c r="X47" s="4" t="s">
        <v>73</v>
      </c>
      <c r="Y47" s="4"/>
    </row>
    <row r="48" spans="1:25" ht="50" x14ac:dyDescent="0.35">
      <c r="A48" s="3" t="s">
        <v>337</v>
      </c>
      <c r="B48" s="3" t="s">
        <v>338</v>
      </c>
      <c r="C48" s="4" t="s">
        <v>384</v>
      </c>
      <c r="D48" s="4" t="s">
        <v>385</v>
      </c>
      <c r="E48" s="5" t="s">
        <v>341</v>
      </c>
      <c r="F48" s="4" t="s">
        <v>386</v>
      </c>
      <c r="G48" s="5" t="s">
        <v>341</v>
      </c>
      <c r="H48" s="4" t="s">
        <v>387</v>
      </c>
      <c r="I48" s="5" t="s">
        <v>341</v>
      </c>
      <c r="J48" s="4" t="s">
        <v>388</v>
      </c>
      <c r="K48" s="5" t="s">
        <v>341</v>
      </c>
      <c r="L48" s="4" t="s">
        <v>389</v>
      </c>
      <c r="M48" s="5" t="s">
        <v>341</v>
      </c>
      <c r="N48" s="4" t="s">
        <v>33</v>
      </c>
      <c r="O48" s="5" t="s">
        <v>34</v>
      </c>
      <c r="P48" s="4" t="s">
        <v>33</v>
      </c>
      <c r="Q48" s="5" t="s">
        <v>34</v>
      </c>
      <c r="R48" s="4" t="s">
        <v>33</v>
      </c>
      <c r="S48" s="5" t="s">
        <v>34</v>
      </c>
      <c r="T48" s="4" t="s">
        <v>390</v>
      </c>
      <c r="U48" s="5" t="s">
        <v>341</v>
      </c>
      <c r="V48" s="4" t="s">
        <v>391</v>
      </c>
      <c r="W48" s="5" t="s">
        <v>341</v>
      </c>
      <c r="X48" s="4" t="s">
        <v>73</v>
      </c>
      <c r="Y48" s="4" t="s">
        <v>392</v>
      </c>
    </row>
    <row r="49" spans="1:25" ht="50" x14ac:dyDescent="0.35">
      <c r="A49" s="3" t="s">
        <v>337</v>
      </c>
      <c r="B49" s="3" t="s">
        <v>338</v>
      </c>
      <c r="C49" s="4" t="s">
        <v>393</v>
      </c>
      <c r="D49" s="4" t="s">
        <v>394</v>
      </c>
      <c r="E49" s="5" t="s">
        <v>341</v>
      </c>
      <c r="F49" s="4" t="s">
        <v>276</v>
      </c>
      <c r="G49" s="5" t="s">
        <v>341</v>
      </c>
      <c r="H49" s="4" t="s">
        <v>33</v>
      </c>
      <c r="I49" s="5" t="s">
        <v>34</v>
      </c>
      <c r="J49" s="4" t="s">
        <v>395</v>
      </c>
      <c r="K49" s="5" t="s">
        <v>341</v>
      </c>
      <c r="L49" s="4" t="s">
        <v>56</v>
      </c>
      <c r="M49" s="5" t="s">
        <v>341</v>
      </c>
      <c r="N49" s="4" t="s">
        <v>396</v>
      </c>
      <c r="O49" s="5" t="s">
        <v>341</v>
      </c>
      <c r="P49" s="4" t="s">
        <v>33</v>
      </c>
      <c r="Q49" s="5" t="s">
        <v>34</v>
      </c>
      <c r="R49" s="4" t="s">
        <v>33</v>
      </c>
      <c r="S49" s="5" t="s">
        <v>34</v>
      </c>
      <c r="T49" s="4" t="s">
        <v>397</v>
      </c>
      <c r="U49" s="5" t="s">
        <v>341</v>
      </c>
      <c r="V49" s="4" t="s">
        <v>398</v>
      </c>
      <c r="W49" s="5" t="s">
        <v>341</v>
      </c>
      <c r="X49" s="4" t="s">
        <v>73</v>
      </c>
      <c r="Y49" s="4" t="s">
        <v>399</v>
      </c>
    </row>
    <row r="50" spans="1:25" ht="50" x14ac:dyDescent="0.35">
      <c r="A50" s="3" t="s">
        <v>337</v>
      </c>
      <c r="B50" s="3" t="s">
        <v>338</v>
      </c>
      <c r="C50" s="4" t="s">
        <v>400</v>
      </c>
      <c r="D50" s="4" t="s">
        <v>394</v>
      </c>
      <c r="E50" s="5" t="s">
        <v>341</v>
      </c>
      <c r="F50" s="4" t="s">
        <v>276</v>
      </c>
      <c r="G50" s="5" t="s">
        <v>341</v>
      </c>
      <c r="H50" s="4" t="s">
        <v>33</v>
      </c>
      <c r="I50" s="5" t="s">
        <v>34</v>
      </c>
      <c r="J50" s="4" t="s">
        <v>401</v>
      </c>
      <c r="K50" s="5" t="s">
        <v>341</v>
      </c>
      <c r="L50" s="4" t="s">
        <v>56</v>
      </c>
      <c r="M50" s="5" t="s">
        <v>341</v>
      </c>
      <c r="N50" s="4" t="s">
        <v>402</v>
      </c>
      <c r="O50" s="5" t="s">
        <v>341</v>
      </c>
      <c r="P50" s="4" t="s">
        <v>33</v>
      </c>
      <c r="Q50" s="5" t="s">
        <v>34</v>
      </c>
      <c r="R50" s="4" t="s">
        <v>33</v>
      </c>
      <c r="S50" s="5" t="s">
        <v>34</v>
      </c>
      <c r="T50" s="4" t="s">
        <v>403</v>
      </c>
      <c r="U50" s="5" t="s">
        <v>341</v>
      </c>
      <c r="V50" s="4" t="s">
        <v>398</v>
      </c>
      <c r="W50" s="5" t="s">
        <v>341</v>
      </c>
      <c r="X50" s="4" t="s">
        <v>73</v>
      </c>
      <c r="Y50" s="4"/>
    </row>
    <row r="51" spans="1:25" ht="50" x14ac:dyDescent="0.35">
      <c r="A51" s="3" t="s">
        <v>337</v>
      </c>
      <c r="B51" s="3" t="s">
        <v>338</v>
      </c>
      <c r="C51" s="4" t="s">
        <v>404</v>
      </c>
      <c r="D51" s="4" t="s">
        <v>405</v>
      </c>
      <c r="E51" s="5" t="s">
        <v>341</v>
      </c>
      <c r="F51" s="4" t="s">
        <v>406</v>
      </c>
      <c r="G51" s="5" t="s">
        <v>34</v>
      </c>
      <c r="H51" s="4" t="s">
        <v>33</v>
      </c>
      <c r="I51" s="5" t="s">
        <v>34</v>
      </c>
      <c r="J51" s="4" t="s">
        <v>407</v>
      </c>
      <c r="K51" s="5" t="s">
        <v>341</v>
      </c>
      <c r="L51" s="4" t="s">
        <v>56</v>
      </c>
      <c r="M51" s="5" t="s">
        <v>341</v>
      </c>
      <c r="N51" s="4" t="s">
        <v>402</v>
      </c>
      <c r="O51" s="5" t="s">
        <v>341</v>
      </c>
      <c r="P51" s="4" t="s">
        <v>33</v>
      </c>
      <c r="Q51" s="5" t="s">
        <v>34</v>
      </c>
      <c r="R51" s="4" t="s">
        <v>33</v>
      </c>
      <c r="S51" s="5" t="s">
        <v>34</v>
      </c>
      <c r="T51" s="4" t="s">
        <v>403</v>
      </c>
      <c r="U51" s="5" t="s">
        <v>341</v>
      </c>
      <c r="V51" s="4" t="s">
        <v>398</v>
      </c>
      <c r="W51" s="5" t="s">
        <v>341</v>
      </c>
      <c r="X51" s="4" t="s">
        <v>73</v>
      </c>
      <c r="Y51" s="4" t="s">
        <v>408</v>
      </c>
    </row>
    <row r="52" spans="1:25" ht="57.5" x14ac:dyDescent="0.35">
      <c r="A52" s="3" t="s">
        <v>337</v>
      </c>
      <c r="B52" s="3" t="s">
        <v>338</v>
      </c>
      <c r="C52" s="4" t="s">
        <v>409</v>
      </c>
      <c r="D52" s="4" t="s">
        <v>410</v>
      </c>
      <c r="E52" s="5" t="s">
        <v>341</v>
      </c>
      <c r="F52" s="4" t="s">
        <v>33</v>
      </c>
      <c r="G52" s="5" t="s">
        <v>34</v>
      </c>
      <c r="H52" s="4" t="s">
        <v>33</v>
      </c>
      <c r="I52" s="5" t="s">
        <v>34</v>
      </c>
      <c r="J52" s="4" t="s">
        <v>411</v>
      </c>
      <c r="K52" s="5" t="s">
        <v>341</v>
      </c>
      <c r="L52" s="4" t="s">
        <v>56</v>
      </c>
      <c r="M52" s="5" t="s">
        <v>341</v>
      </c>
      <c r="N52" s="4" t="s">
        <v>56</v>
      </c>
      <c r="O52" s="5" t="s">
        <v>341</v>
      </c>
      <c r="P52" s="4" t="s">
        <v>33</v>
      </c>
      <c r="Q52" s="5" t="s">
        <v>34</v>
      </c>
      <c r="R52" s="4" t="s">
        <v>33</v>
      </c>
      <c r="S52" s="5" t="s">
        <v>34</v>
      </c>
      <c r="T52" s="4" t="s">
        <v>412</v>
      </c>
      <c r="U52" s="5" t="s">
        <v>341</v>
      </c>
      <c r="V52" s="4" t="s">
        <v>391</v>
      </c>
      <c r="W52" s="5" t="s">
        <v>341</v>
      </c>
      <c r="X52" s="4" t="s">
        <v>73</v>
      </c>
      <c r="Y52" s="4" t="s">
        <v>413</v>
      </c>
    </row>
    <row r="53" spans="1:25" ht="60" x14ac:dyDescent="0.35">
      <c r="A53" s="8" t="s">
        <v>414</v>
      </c>
      <c r="B53" s="8" t="s">
        <v>415</v>
      </c>
      <c r="C53" s="9" t="s">
        <v>416</v>
      </c>
      <c r="D53" s="9" t="s">
        <v>417</v>
      </c>
      <c r="E53" s="5" t="s">
        <v>418</v>
      </c>
      <c r="F53" s="9" t="s">
        <v>32</v>
      </c>
      <c r="G53" s="5" t="s">
        <v>418</v>
      </c>
      <c r="H53" s="9" t="s">
        <v>419</v>
      </c>
      <c r="I53" s="5" t="s">
        <v>418</v>
      </c>
      <c r="J53" s="9" t="s">
        <v>420</v>
      </c>
      <c r="K53" s="5" t="s">
        <v>421</v>
      </c>
      <c r="L53" s="9" t="s">
        <v>422</v>
      </c>
      <c r="M53" s="5" t="s">
        <v>423</v>
      </c>
      <c r="N53" s="9" t="s">
        <v>424</v>
      </c>
      <c r="O53" s="5" t="s">
        <v>425</v>
      </c>
      <c r="P53" s="9" t="s">
        <v>426</v>
      </c>
      <c r="Q53" s="5" t="s">
        <v>425</v>
      </c>
      <c r="R53" s="9" t="s">
        <v>427</v>
      </c>
      <c r="S53" s="5" t="s">
        <v>421</v>
      </c>
      <c r="T53" s="9" t="s">
        <v>428</v>
      </c>
      <c r="U53" s="5" t="s">
        <v>421</v>
      </c>
      <c r="V53" s="9" t="s">
        <v>429</v>
      </c>
      <c r="W53" s="5" t="s">
        <v>425</v>
      </c>
      <c r="X53" s="9" t="s">
        <v>43</v>
      </c>
      <c r="Y53" s="9" t="s">
        <v>430</v>
      </c>
    </row>
    <row r="54" spans="1:25" ht="60" x14ac:dyDescent="0.35">
      <c r="A54" s="8" t="s">
        <v>414</v>
      </c>
      <c r="B54" s="8" t="s">
        <v>415</v>
      </c>
      <c r="C54" s="9" t="s">
        <v>431</v>
      </c>
      <c r="D54" s="9" t="s">
        <v>432</v>
      </c>
      <c r="E54" s="5" t="s">
        <v>421</v>
      </c>
      <c r="F54" s="9" t="s">
        <v>32</v>
      </c>
      <c r="G54" s="5" t="s">
        <v>418</v>
      </c>
      <c r="H54" s="9" t="s">
        <v>433</v>
      </c>
      <c r="I54" s="5" t="s">
        <v>418</v>
      </c>
      <c r="J54" s="9" t="s">
        <v>434</v>
      </c>
      <c r="K54" s="5" t="s">
        <v>425</v>
      </c>
      <c r="L54" s="9" t="s">
        <v>435</v>
      </c>
      <c r="M54" s="5" t="s">
        <v>425</v>
      </c>
      <c r="N54" s="9" t="s">
        <v>436</v>
      </c>
      <c r="O54" s="5" t="s">
        <v>425</v>
      </c>
      <c r="P54" s="9" t="s">
        <v>437</v>
      </c>
      <c r="Q54" s="5" t="s">
        <v>425</v>
      </c>
      <c r="R54" s="9" t="s">
        <v>438</v>
      </c>
      <c r="S54" s="5" t="s">
        <v>425</v>
      </c>
      <c r="T54" s="9" t="s">
        <v>439</v>
      </c>
      <c r="U54" s="5" t="s">
        <v>418</v>
      </c>
      <c r="V54" s="9" t="s">
        <v>440</v>
      </c>
      <c r="W54" s="5" t="s">
        <v>425</v>
      </c>
      <c r="X54" s="9" t="s">
        <v>43</v>
      </c>
      <c r="Y54" s="9" t="s">
        <v>441</v>
      </c>
    </row>
    <row r="55" spans="1:25" ht="57.5" x14ac:dyDescent="0.35">
      <c r="A55" s="8" t="s">
        <v>414</v>
      </c>
      <c r="B55" s="8" t="s">
        <v>415</v>
      </c>
      <c r="C55" s="9" t="s">
        <v>442</v>
      </c>
      <c r="D55" s="9" t="s">
        <v>443</v>
      </c>
      <c r="E55" s="5" t="s">
        <v>425</v>
      </c>
      <c r="F55" s="9" t="s">
        <v>444</v>
      </c>
      <c r="G55" s="5" t="s">
        <v>34</v>
      </c>
      <c r="H55" s="9" t="s">
        <v>33</v>
      </c>
      <c r="I55" s="5" t="s">
        <v>34</v>
      </c>
      <c r="J55" s="9" t="s">
        <v>445</v>
      </c>
      <c r="K55" s="5" t="s">
        <v>425</v>
      </c>
      <c r="L55" s="9" t="s">
        <v>33</v>
      </c>
      <c r="M55" s="5" t="s">
        <v>34</v>
      </c>
      <c r="N55" s="9" t="s">
        <v>56</v>
      </c>
      <c r="O55" s="5" t="s">
        <v>425</v>
      </c>
      <c r="P55" s="9" t="s">
        <v>33</v>
      </c>
      <c r="Q55" s="5" t="s">
        <v>34</v>
      </c>
      <c r="R55" s="9" t="s">
        <v>446</v>
      </c>
      <c r="S55" s="5" t="s">
        <v>425</v>
      </c>
      <c r="T55" s="9" t="s">
        <v>33</v>
      </c>
      <c r="U55" s="5" t="s">
        <v>34</v>
      </c>
      <c r="V55" s="9" t="s">
        <v>447</v>
      </c>
      <c r="W55" s="5" t="s">
        <v>425</v>
      </c>
      <c r="X55" s="9" t="s">
        <v>43</v>
      </c>
      <c r="Y55" s="9" t="s">
        <v>448</v>
      </c>
    </row>
    <row r="56" spans="1:25" ht="60" x14ac:dyDescent="0.35">
      <c r="A56" s="3" t="s">
        <v>449</v>
      </c>
      <c r="B56" s="3" t="s">
        <v>450</v>
      </c>
      <c r="C56" s="4" t="s">
        <v>451</v>
      </c>
      <c r="D56" s="4" t="s">
        <v>452</v>
      </c>
      <c r="E56" s="5" t="s">
        <v>453</v>
      </c>
      <c r="F56" s="4" t="s">
        <v>454</v>
      </c>
      <c r="G56" s="5" t="s">
        <v>34</v>
      </c>
      <c r="H56" s="4" t="s">
        <v>33</v>
      </c>
      <c r="I56" s="5" t="s">
        <v>34</v>
      </c>
      <c r="J56" s="4" t="s">
        <v>455</v>
      </c>
      <c r="K56" s="5" t="s">
        <v>453</v>
      </c>
      <c r="L56" s="4" t="s">
        <v>456</v>
      </c>
      <c r="M56" s="5" t="s">
        <v>453</v>
      </c>
      <c r="N56" s="4" t="s">
        <v>33</v>
      </c>
      <c r="O56" s="5" t="s">
        <v>34</v>
      </c>
      <c r="P56" s="4" t="s">
        <v>33</v>
      </c>
      <c r="Q56" s="5" t="s">
        <v>34</v>
      </c>
      <c r="R56" s="4" t="s">
        <v>457</v>
      </c>
      <c r="S56" s="5" t="s">
        <v>458</v>
      </c>
      <c r="T56" s="4" t="s">
        <v>33</v>
      </c>
      <c r="U56" s="5" t="s">
        <v>34</v>
      </c>
      <c r="V56" s="4" t="s">
        <v>33</v>
      </c>
      <c r="W56" s="5" t="s">
        <v>34</v>
      </c>
      <c r="X56" s="6" t="s">
        <v>59</v>
      </c>
      <c r="Y56" s="4" t="s">
        <v>459</v>
      </c>
    </row>
    <row r="57" spans="1:25" ht="34.5" x14ac:dyDescent="0.35">
      <c r="A57" s="3" t="s">
        <v>449</v>
      </c>
      <c r="B57" s="3" t="s">
        <v>450</v>
      </c>
      <c r="C57" s="4" t="s">
        <v>460</v>
      </c>
      <c r="D57" s="4" t="s">
        <v>461</v>
      </c>
      <c r="E57" s="5" t="s">
        <v>453</v>
      </c>
      <c r="F57" s="4" t="s">
        <v>454</v>
      </c>
      <c r="G57" s="5" t="s">
        <v>34</v>
      </c>
      <c r="H57" s="4" t="s">
        <v>462</v>
      </c>
      <c r="I57" s="5" t="s">
        <v>453</v>
      </c>
      <c r="J57" s="4" t="s">
        <v>463</v>
      </c>
      <c r="K57" s="5" t="s">
        <v>453</v>
      </c>
      <c r="L57" s="4" t="s">
        <v>56</v>
      </c>
      <c r="M57" s="5" t="s">
        <v>453</v>
      </c>
      <c r="N57" s="4" t="s">
        <v>33</v>
      </c>
      <c r="O57" s="5" t="s">
        <v>34</v>
      </c>
      <c r="P57" s="4" t="s">
        <v>33</v>
      </c>
      <c r="Q57" s="5" t="s">
        <v>34</v>
      </c>
      <c r="R57" s="4" t="s">
        <v>464</v>
      </c>
      <c r="S57" s="5" t="s">
        <v>453</v>
      </c>
      <c r="T57" s="4" t="s">
        <v>465</v>
      </c>
      <c r="U57" s="5" t="s">
        <v>453</v>
      </c>
      <c r="V57" s="4" t="s">
        <v>33</v>
      </c>
      <c r="W57" s="5" t="s">
        <v>34</v>
      </c>
      <c r="X57" s="6" t="s">
        <v>59</v>
      </c>
      <c r="Y57" s="4" t="s">
        <v>466</v>
      </c>
    </row>
    <row r="58" spans="1:25" ht="34.5" x14ac:dyDescent="0.35">
      <c r="A58" s="3" t="s">
        <v>449</v>
      </c>
      <c r="B58" s="3" t="s">
        <v>450</v>
      </c>
      <c r="C58" s="4" t="s">
        <v>431</v>
      </c>
      <c r="D58" s="4" t="s">
        <v>467</v>
      </c>
      <c r="E58" s="5" t="s">
        <v>453</v>
      </c>
      <c r="F58" s="4" t="s">
        <v>468</v>
      </c>
      <c r="G58" s="5" t="s">
        <v>34</v>
      </c>
      <c r="H58" s="4" t="s">
        <v>33</v>
      </c>
      <c r="I58" s="5" t="s">
        <v>34</v>
      </c>
      <c r="J58" s="4" t="s">
        <v>469</v>
      </c>
      <c r="K58" s="5" t="s">
        <v>453</v>
      </c>
      <c r="L58" s="4" t="s">
        <v>470</v>
      </c>
      <c r="M58" s="5" t="s">
        <v>453</v>
      </c>
      <c r="N58" s="4" t="s">
        <v>33</v>
      </c>
      <c r="O58" s="5" t="s">
        <v>34</v>
      </c>
      <c r="P58" s="4" t="s">
        <v>33</v>
      </c>
      <c r="Q58" s="5" t="s">
        <v>34</v>
      </c>
      <c r="R58" s="4" t="s">
        <v>471</v>
      </c>
      <c r="S58" s="5" t="s">
        <v>453</v>
      </c>
      <c r="T58" s="4" t="s">
        <v>472</v>
      </c>
      <c r="U58" s="5" t="s">
        <v>453</v>
      </c>
      <c r="V58" s="4" t="s">
        <v>374</v>
      </c>
      <c r="W58" s="5" t="s">
        <v>453</v>
      </c>
      <c r="X58" s="6" t="s">
        <v>59</v>
      </c>
      <c r="Y58" s="4" t="s">
        <v>473</v>
      </c>
    </row>
    <row r="59" spans="1:25" ht="60" x14ac:dyDescent="0.35">
      <c r="A59" s="3" t="s">
        <v>449</v>
      </c>
      <c r="B59" s="3" t="s">
        <v>450</v>
      </c>
      <c r="C59" s="4" t="s">
        <v>474</v>
      </c>
      <c r="D59" s="4" t="s">
        <v>475</v>
      </c>
      <c r="E59" s="5" t="s">
        <v>476</v>
      </c>
      <c r="F59" s="4" t="s">
        <v>477</v>
      </c>
      <c r="G59" s="5" t="s">
        <v>34</v>
      </c>
      <c r="H59" s="4" t="s">
        <v>33</v>
      </c>
      <c r="I59" s="5" t="s">
        <v>34</v>
      </c>
      <c r="J59" s="4" t="s">
        <v>478</v>
      </c>
      <c r="K59" s="5" t="s">
        <v>453</v>
      </c>
      <c r="L59" s="4" t="s">
        <v>479</v>
      </c>
      <c r="M59" s="5" t="s">
        <v>453</v>
      </c>
      <c r="N59" s="4" t="s">
        <v>33</v>
      </c>
      <c r="O59" s="5" t="s">
        <v>34</v>
      </c>
      <c r="P59" s="4" t="s">
        <v>33</v>
      </c>
      <c r="Q59" s="5" t="s">
        <v>34</v>
      </c>
      <c r="R59" s="4" t="s">
        <v>480</v>
      </c>
      <c r="S59" s="5" t="s">
        <v>481</v>
      </c>
      <c r="T59" s="4" t="s">
        <v>482</v>
      </c>
      <c r="U59" s="5" t="s">
        <v>453</v>
      </c>
      <c r="V59" s="4" t="s">
        <v>33</v>
      </c>
      <c r="W59" s="5" t="s">
        <v>34</v>
      </c>
      <c r="X59" s="6" t="s">
        <v>59</v>
      </c>
      <c r="Y59" s="4" t="s">
        <v>483</v>
      </c>
    </row>
    <row r="60" spans="1:25" ht="40" x14ac:dyDescent="0.35">
      <c r="A60" s="3" t="s">
        <v>449</v>
      </c>
      <c r="B60" s="3" t="s">
        <v>450</v>
      </c>
      <c r="C60" s="4" t="s">
        <v>484</v>
      </c>
      <c r="D60" s="4" t="s">
        <v>485</v>
      </c>
      <c r="E60" s="5" t="s">
        <v>476</v>
      </c>
      <c r="F60" s="4" t="s">
        <v>33</v>
      </c>
      <c r="G60" s="5" t="s">
        <v>34</v>
      </c>
      <c r="H60" s="4" t="s">
        <v>33</v>
      </c>
      <c r="I60" s="5" t="s">
        <v>34</v>
      </c>
      <c r="J60" s="4" t="s">
        <v>486</v>
      </c>
      <c r="K60" s="5" t="s">
        <v>476</v>
      </c>
      <c r="L60" s="4" t="s">
        <v>33</v>
      </c>
      <c r="M60" s="5" t="s">
        <v>34</v>
      </c>
      <c r="N60" s="4" t="s">
        <v>33</v>
      </c>
      <c r="O60" s="5" t="s">
        <v>34</v>
      </c>
      <c r="P60" s="4" t="s">
        <v>33</v>
      </c>
      <c r="Q60" s="5" t="s">
        <v>34</v>
      </c>
      <c r="R60" s="4" t="s">
        <v>487</v>
      </c>
      <c r="S60" s="5" t="s">
        <v>476</v>
      </c>
      <c r="T60" s="4" t="s">
        <v>33</v>
      </c>
      <c r="U60" s="5" t="s">
        <v>34</v>
      </c>
      <c r="V60" s="4" t="s">
        <v>33</v>
      </c>
      <c r="W60" s="5" t="s">
        <v>34</v>
      </c>
      <c r="X60" s="4" t="s">
        <v>73</v>
      </c>
      <c r="Y60" s="4" t="s">
        <v>488</v>
      </c>
    </row>
    <row r="61" spans="1:25" ht="40" x14ac:dyDescent="0.35">
      <c r="A61" s="3" t="s">
        <v>449</v>
      </c>
      <c r="B61" s="3" t="s">
        <v>450</v>
      </c>
      <c r="C61" s="4" t="s">
        <v>489</v>
      </c>
      <c r="D61" s="4" t="s">
        <v>490</v>
      </c>
      <c r="E61" s="5" t="s">
        <v>476</v>
      </c>
      <c r="F61" s="4" t="s">
        <v>33</v>
      </c>
      <c r="G61" s="5" t="s">
        <v>34</v>
      </c>
      <c r="H61" s="4" t="s">
        <v>33</v>
      </c>
      <c r="I61" s="5" t="s">
        <v>34</v>
      </c>
      <c r="J61" s="4" t="s">
        <v>486</v>
      </c>
      <c r="K61" s="5" t="s">
        <v>476</v>
      </c>
      <c r="L61" s="4" t="s">
        <v>33</v>
      </c>
      <c r="M61" s="5" t="s">
        <v>34</v>
      </c>
      <c r="N61" s="4" t="s">
        <v>33</v>
      </c>
      <c r="O61" s="5" t="s">
        <v>34</v>
      </c>
      <c r="P61" s="4" t="s">
        <v>33</v>
      </c>
      <c r="Q61" s="5" t="s">
        <v>34</v>
      </c>
      <c r="R61" s="4" t="s">
        <v>491</v>
      </c>
      <c r="S61" s="5" t="s">
        <v>476</v>
      </c>
      <c r="T61" s="4" t="s">
        <v>33</v>
      </c>
      <c r="U61" s="5" t="s">
        <v>34</v>
      </c>
      <c r="V61" s="4" t="s">
        <v>33</v>
      </c>
      <c r="W61" s="5" t="s">
        <v>34</v>
      </c>
      <c r="X61" s="4" t="s">
        <v>73</v>
      </c>
      <c r="Y61" s="4"/>
    </row>
  </sheetData>
  <autoFilter ref="A3:Y61" xr:uid="{00000000-0009-0000-0000-000000000000}"/>
  <mergeCells count="2">
    <mergeCell ref="A2:Y2"/>
    <mergeCell ref="A1:Y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workbookViewId="0">
      <pane ySplit="3" topLeftCell="A4" activePane="bottomLeft" state="frozen"/>
      <selection pane="bottomLeft"/>
    </sheetView>
  </sheetViews>
  <sheetFormatPr defaultRowHeight="14.5" x14ac:dyDescent="0.35"/>
  <cols>
    <col min="1" max="1" width="18" customWidth="1"/>
    <col min="2" max="2" width="9" customWidth="1"/>
    <col min="3" max="3" width="13" customWidth="1"/>
    <col min="4" max="5" width="60" customWidth="1"/>
    <col min="6" max="6" width="26" customWidth="1"/>
    <col min="7" max="7" width="15" customWidth="1"/>
    <col min="8" max="8" width="70" customWidth="1"/>
  </cols>
  <sheetData>
    <row r="1" spans="1:8" ht="24" customHeight="1" x14ac:dyDescent="0.35">
      <c r="A1" s="30" t="s">
        <v>492</v>
      </c>
      <c r="B1" s="29"/>
      <c r="C1" s="29"/>
      <c r="D1" s="29"/>
      <c r="E1" s="29"/>
      <c r="F1" s="29"/>
      <c r="G1" s="29"/>
      <c r="H1" s="29"/>
    </row>
    <row r="3" spans="1:8" ht="32" customHeight="1" x14ac:dyDescent="0.35">
      <c r="A3" s="1" t="s">
        <v>2</v>
      </c>
      <c r="B3" s="1" t="s">
        <v>3</v>
      </c>
      <c r="C3" s="1" t="s">
        <v>493</v>
      </c>
      <c r="D3" s="1" t="s">
        <v>494</v>
      </c>
      <c r="E3" s="1" t="s">
        <v>495</v>
      </c>
      <c r="F3" s="1" t="s">
        <v>496</v>
      </c>
      <c r="G3" s="1" t="s">
        <v>497</v>
      </c>
      <c r="H3" s="1" t="s">
        <v>498</v>
      </c>
    </row>
    <row r="4" spans="1:8" ht="60" x14ac:dyDescent="0.35">
      <c r="A4" s="8" t="s">
        <v>27</v>
      </c>
      <c r="B4" s="8" t="s">
        <v>28</v>
      </c>
      <c r="C4" s="9">
        <v>8</v>
      </c>
      <c r="D4" s="9" t="s">
        <v>499</v>
      </c>
      <c r="E4" s="5" t="s">
        <v>500</v>
      </c>
      <c r="F4" s="9" t="s">
        <v>501</v>
      </c>
      <c r="G4" s="6">
        <v>2</v>
      </c>
      <c r="H4" s="9" t="s">
        <v>502</v>
      </c>
    </row>
    <row r="5" spans="1:8" ht="40" x14ac:dyDescent="0.35">
      <c r="A5" s="8" t="s">
        <v>94</v>
      </c>
      <c r="B5" s="8" t="s">
        <v>95</v>
      </c>
      <c r="C5" s="9">
        <v>10</v>
      </c>
      <c r="D5" s="9" t="s">
        <v>503</v>
      </c>
      <c r="E5" s="5" t="s">
        <v>98</v>
      </c>
      <c r="F5" s="9" t="s">
        <v>504</v>
      </c>
      <c r="G5" s="9">
        <v>0</v>
      </c>
      <c r="H5" s="9" t="s">
        <v>505</v>
      </c>
    </row>
    <row r="6" spans="1:8" ht="30" x14ac:dyDescent="0.35">
      <c r="A6" s="8" t="s">
        <v>173</v>
      </c>
      <c r="B6" s="8" t="s">
        <v>174</v>
      </c>
      <c r="C6" s="9">
        <v>3</v>
      </c>
      <c r="D6" s="9" t="s">
        <v>506</v>
      </c>
      <c r="E6" s="5" t="s">
        <v>177</v>
      </c>
      <c r="F6" s="9" t="s">
        <v>507</v>
      </c>
      <c r="G6" s="9">
        <v>0</v>
      </c>
      <c r="H6" s="9" t="s">
        <v>508</v>
      </c>
    </row>
    <row r="7" spans="1:8" ht="46" x14ac:dyDescent="0.35">
      <c r="A7" s="8" t="s">
        <v>210</v>
      </c>
      <c r="B7" s="8" t="s">
        <v>211</v>
      </c>
      <c r="C7" s="9">
        <v>6</v>
      </c>
      <c r="D7" s="9" t="s">
        <v>509</v>
      </c>
      <c r="E7" s="5" t="s">
        <v>214</v>
      </c>
      <c r="F7" s="9" t="s">
        <v>510</v>
      </c>
      <c r="G7" s="9">
        <v>0</v>
      </c>
      <c r="H7" s="9" t="s">
        <v>511</v>
      </c>
    </row>
    <row r="8" spans="1:8" ht="70" x14ac:dyDescent="0.35">
      <c r="A8" s="8" t="s">
        <v>255</v>
      </c>
      <c r="B8" s="8" t="s">
        <v>256</v>
      </c>
      <c r="C8" s="9">
        <v>1</v>
      </c>
      <c r="D8" s="9" t="s">
        <v>512</v>
      </c>
      <c r="E8" s="5" t="s">
        <v>262</v>
      </c>
      <c r="F8" s="9" t="s">
        <v>32</v>
      </c>
      <c r="G8" s="9">
        <v>0</v>
      </c>
      <c r="H8" s="9" t="s">
        <v>513</v>
      </c>
    </row>
    <row r="9" spans="1:8" ht="40" x14ac:dyDescent="0.35">
      <c r="A9" s="8" t="s">
        <v>271</v>
      </c>
      <c r="B9" s="8" t="s">
        <v>272</v>
      </c>
      <c r="C9" s="9">
        <v>10</v>
      </c>
      <c r="D9" s="9" t="s">
        <v>514</v>
      </c>
      <c r="E9" s="5" t="s">
        <v>275</v>
      </c>
      <c r="F9" s="9" t="s">
        <v>515</v>
      </c>
      <c r="G9" s="6">
        <v>1</v>
      </c>
      <c r="H9" s="9" t="s">
        <v>516</v>
      </c>
    </row>
    <row r="10" spans="1:8" ht="40" x14ac:dyDescent="0.35">
      <c r="A10" s="8" t="s">
        <v>337</v>
      </c>
      <c r="B10" s="8" t="s">
        <v>338</v>
      </c>
      <c r="C10" s="9">
        <v>11</v>
      </c>
      <c r="D10" s="9" t="s">
        <v>517</v>
      </c>
      <c r="E10" s="5" t="s">
        <v>341</v>
      </c>
      <c r="F10" s="9" t="s">
        <v>518</v>
      </c>
      <c r="G10" s="9">
        <v>0</v>
      </c>
      <c r="H10" s="9" t="s">
        <v>519</v>
      </c>
    </row>
    <row r="11" spans="1:8" ht="40" x14ac:dyDescent="0.35">
      <c r="A11" s="8" t="s">
        <v>414</v>
      </c>
      <c r="B11" s="8" t="s">
        <v>415</v>
      </c>
      <c r="C11" s="9">
        <v>3</v>
      </c>
      <c r="D11" s="9" t="s">
        <v>520</v>
      </c>
      <c r="E11" s="5" t="s">
        <v>425</v>
      </c>
      <c r="F11" s="9" t="s">
        <v>521</v>
      </c>
      <c r="G11" s="9">
        <v>0</v>
      </c>
      <c r="H11" s="9" t="s">
        <v>522</v>
      </c>
    </row>
    <row r="12" spans="1:8" ht="34.5" x14ac:dyDescent="0.35">
      <c r="A12" s="8" t="s">
        <v>449</v>
      </c>
      <c r="B12" s="8" t="s">
        <v>450</v>
      </c>
      <c r="C12" s="9">
        <v>6</v>
      </c>
      <c r="D12" s="9" t="s">
        <v>523</v>
      </c>
      <c r="E12" s="5" t="s">
        <v>476</v>
      </c>
      <c r="F12" s="9" t="s">
        <v>524</v>
      </c>
      <c r="G12" s="6">
        <v>4</v>
      </c>
      <c r="H12" s="9" t="s">
        <v>525</v>
      </c>
    </row>
    <row r="14" spans="1:8" x14ac:dyDescent="0.35">
      <c r="A14" s="10" t="s">
        <v>526</v>
      </c>
      <c r="B14" s="10" t="s">
        <v>527</v>
      </c>
      <c r="C14" s="10">
        <f>SUM(C4:C12)</f>
        <v>58</v>
      </c>
      <c r="G14" s="10">
        <f>SUM(G4:G12)</f>
        <v>7</v>
      </c>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9"/>
  <sheetViews>
    <sheetView workbookViewId="0"/>
  </sheetViews>
  <sheetFormatPr defaultRowHeight="14.5" x14ac:dyDescent="0.35"/>
  <cols>
    <col min="1" max="1" width="26" customWidth="1"/>
    <col min="2" max="2" width="130" customWidth="1"/>
  </cols>
  <sheetData>
    <row r="1" spans="1:3" ht="24" customHeight="1" x14ac:dyDescent="0.35">
      <c r="A1" s="30" t="s">
        <v>528</v>
      </c>
      <c r="B1" s="29"/>
      <c r="C1" s="29"/>
    </row>
    <row r="3" spans="1:3" x14ac:dyDescent="0.35">
      <c r="A3" s="11" t="s">
        <v>529</v>
      </c>
      <c r="B3" s="11" t="s">
        <v>530</v>
      </c>
    </row>
    <row r="4" spans="1:3" ht="23" x14ac:dyDescent="0.35">
      <c r="A4" s="8" t="s">
        <v>531</v>
      </c>
      <c r="B4" s="9" t="s">
        <v>532</v>
      </c>
    </row>
    <row r="5" spans="1:3" ht="23" x14ac:dyDescent="0.35">
      <c r="A5" s="8" t="s">
        <v>533</v>
      </c>
      <c r="B5" s="9" t="s">
        <v>534</v>
      </c>
    </row>
    <row r="6" spans="1:3" ht="34.5" x14ac:dyDescent="0.35">
      <c r="A6" s="8" t="s">
        <v>535</v>
      </c>
      <c r="B6" s="9" t="s">
        <v>536</v>
      </c>
    </row>
    <row r="7" spans="1:3" x14ac:dyDescent="0.35">
      <c r="A7" s="8" t="s">
        <v>537</v>
      </c>
      <c r="B7" s="9" t="s">
        <v>538</v>
      </c>
    </row>
    <row r="8" spans="1:3" ht="23" x14ac:dyDescent="0.35">
      <c r="A8" s="8" t="s">
        <v>539</v>
      </c>
      <c r="B8" s="9" t="s">
        <v>540</v>
      </c>
    </row>
    <row r="9" spans="1:3" ht="34.5" x14ac:dyDescent="0.35">
      <c r="A9" s="8" t="s">
        <v>541</v>
      </c>
      <c r="B9" s="9" t="s">
        <v>542</v>
      </c>
    </row>
    <row r="10" spans="1:3" ht="23" x14ac:dyDescent="0.35">
      <c r="A10" s="8" t="s">
        <v>543</v>
      </c>
      <c r="B10" s="9" t="s">
        <v>544</v>
      </c>
    </row>
    <row r="11" spans="1:3" ht="34.5" x14ac:dyDescent="0.35">
      <c r="A11" s="8" t="s">
        <v>545</v>
      </c>
      <c r="B11" s="9" t="s">
        <v>546</v>
      </c>
    </row>
    <row r="12" spans="1:3" ht="23" x14ac:dyDescent="0.35">
      <c r="A12" s="8" t="s">
        <v>547</v>
      </c>
      <c r="B12" s="9" t="s">
        <v>548</v>
      </c>
    </row>
    <row r="13" spans="1:3" ht="23" x14ac:dyDescent="0.35">
      <c r="A13" s="8" t="s">
        <v>549</v>
      </c>
      <c r="B13" s="9" t="s">
        <v>550</v>
      </c>
    </row>
    <row r="14" spans="1:3" ht="23" x14ac:dyDescent="0.35">
      <c r="A14" s="8" t="s">
        <v>551</v>
      </c>
      <c r="B14" s="9" t="s">
        <v>552</v>
      </c>
    </row>
    <row r="17" spans="1:2" x14ac:dyDescent="0.35">
      <c r="A17" s="12" t="s">
        <v>553</v>
      </c>
      <c r="B17" s="12" t="s">
        <v>554</v>
      </c>
    </row>
    <row r="18" spans="1:2" ht="20" x14ac:dyDescent="0.35">
      <c r="A18" s="10" t="s">
        <v>555</v>
      </c>
      <c r="B18" s="13" t="s">
        <v>214</v>
      </c>
    </row>
    <row r="19" spans="1:2" x14ac:dyDescent="0.35">
      <c r="A19" s="10" t="s">
        <v>556</v>
      </c>
      <c r="B19" s="13" t="s">
        <v>476</v>
      </c>
    </row>
    <row r="20" spans="1:2" x14ac:dyDescent="0.35">
      <c r="A20" s="10" t="s">
        <v>557</v>
      </c>
      <c r="B20" s="13" t="s">
        <v>453</v>
      </c>
    </row>
    <row r="21" spans="1:2" ht="20" x14ac:dyDescent="0.35">
      <c r="A21" s="10" t="s">
        <v>558</v>
      </c>
      <c r="B21" s="13" t="s">
        <v>98</v>
      </c>
    </row>
    <row r="22" spans="1:2" x14ac:dyDescent="0.35">
      <c r="A22" s="10" t="s">
        <v>559</v>
      </c>
      <c r="B22" s="13" t="s">
        <v>560</v>
      </c>
    </row>
    <row r="23" spans="1:2" ht="20" x14ac:dyDescent="0.35">
      <c r="A23" s="10" t="s">
        <v>561</v>
      </c>
      <c r="B23" s="13" t="s">
        <v>114</v>
      </c>
    </row>
    <row r="24" spans="1:2" ht="20" x14ac:dyDescent="0.35">
      <c r="A24" s="10" t="s">
        <v>562</v>
      </c>
      <c r="B24" s="13" t="s">
        <v>563</v>
      </c>
    </row>
    <row r="25" spans="1:2" ht="20" x14ac:dyDescent="0.35">
      <c r="A25" s="10" t="s">
        <v>564</v>
      </c>
      <c r="B25" s="13" t="s">
        <v>275</v>
      </c>
    </row>
    <row r="26" spans="1:2" ht="20" x14ac:dyDescent="0.35">
      <c r="A26" s="10" t="s">
        <v>565</v>
      </c>
      <c r="B26" s="13" t="s">
        <v>566</v>
      </c>
    </row>
    <row r="27" spans="1:2" ht="20" x14ac:dyDescent="0.35">
      <c r="A27" s="10" t="s">
        <v>567</v>
      </c>
      <c r="B27" s="13" t="s">
        <v>307</v>
      </c>
    </row>
    <row r="28" spans="1:2" ht="20" x14ac:dyDescent="0.35">
      <c r="A28" s="10" t="s">
        <v>568</v>
      </c>
      <c r="B28" s="13" t="s">
        <v>281</v>
      </c>
    </row>
    <row r="29" spans="1:2" ht="20" x14ac:dyDescent="0.35">
      <c r="A29" s="10" t="s">
        <v>569</v>
      </c>
      <c r="B29" s="13" t="s">
        <v>260</v>
      </c>
    </row>
    <row r="30" spans="1:2" ht="20" x14ac:dyDescent="0.35">
      <c r="A30" s="10" t="s">
        <v>570</v>
      </c>
      <c r="B30" s="13" t="s">
        <v>259</v>
      </c>
    </row>
    <row r="31" spans="1:2" ht="20" x14ac:dyDescent="0.35">
      <c r="A31" s="10" t="s">
        <v>571</v>
      </c>
      <c r="B31" s="13" t="s">
        <v>341</v>
      </c>
    </row>
    <row r="32" spans="1:2" ht="20" x14ac:dyDescent="0.35">
      <c r="A32" s="10" t="s">
        <v>572</v>
      </c>
      <c r="B32" s="13" t="s">
        <v>345</v>
      </c>
    </row>
    <row r="33" spans="1:2" x14ac:dyDescent="0.35">
      <c r="A33" s="10" t="s">
        <v>573</v>
      </c>
      <c r="B33" s="13" t="s">
        <v>31</v>
      </c>
    </row>
    <row r="34" spans="1:2" x14ac:dyDescent="0.35">
      <c r="A34" s="10" t="s">
        <v>574</v>
      </c>
      <c r="B34" s="13" t="s">
        <v>38</v>
      </c>
    </row>
    <row r="35" spans="1:2" x14ac:dyDescent="0.35">
      <c r="A35" s="10" t="s">
        <v>575</v>
      </c>
      <c r="B35" s="13" t="s">
        <v>576</v>
      </c>
    </row>
    <row r="36" spans="1:2" x14ac:dyDescent="0.35">
      <c r="A36" s="10" t="s">
        <v>577</v>
      </c>
      <c r="B36" s="13" t="s">
        <v>418</v>
      </c>
    </row>
    <row r="37" spans="1:2" x14ac:dyDescent="0.35">
      <c r="A37" s="10" t="s">
        <v>578</v>
      </c>
      <c r="B37" s="13" t="s">
        <v>423</v>
      </c>
    </row>
    <row r="38" spans="1:2" ht="20" x14ac:dyDescent="0.35">
      <c r="A38" s="10" t="s">
        <v>579</v>
      </c>
      <c r="B38" s="13" t="s">
        <v>425</v>
      </c>
    </row>
    <row r="39" spans="1:2" x14ac:dyDescent="0.35">
      <c r="A39" s="10" t="s">
        <v>580</v>
      </c>
      <c r="B39" s="13" t="s">
        <v>177</v>
      </c>
    </row>
  </sheetData>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workbookViewId="0"/>
  </sheetViews>
  <sheetFormatPr defaultRowHeight="14.5" x14ac:dyDescent="0.35"/>
  <cols>
    <col min="1" max="1" width="5" customWidth="1"/>
    <col min="2" max="2" width="30" customWidth="1"/>
    <col min="3" max="3" width="60" customWidth="1"/>
    <col min="4" max="4" width="78" customWidth="1"/>
    <col min="5" max="5" width="60" customWidth="1"/>
    <col min="6" max="6" width="18" customWidth="1"/>
  </cols>
  <sheetData>
    <row r="1" spans="1:6" ht="24" customHeight="1" x14ac:dyDescent="0.35">
      <c r="A1" s="30" t="s">
        <v>581</v>
      </c>
      <c r="B1" s="29"/>
      <c r="C1" s="29"/>
      <c r="D1" s="29"/>
      <c r="E1" s="29"/>
      <c r="F1" s="29"/>
    </row>
    <row r="3" spans="1:6" ht="30" customHeight="1" x14ac:dyDescent="0.35">
      <c r="A3" s="1" t="s">
        <v>582</v>
      </c>
      <c r="B3" s="1" t="s">
        <v>583</v>
      </c>
      <c r="C3" s="1" t="s">
        <v>584</v>
      </c>
      <c r="D3" s="1" t="s">
        <v>585</v>
      </c>
      <c r="E3" s="1" t="s">
        <v>586</v>
      </c>
      <c r="F3" s="1" t="s">
        <v>587</v>
      </c>
    </row>
    <row r="4" spans="1:6" ht="57.5" x14ac:dyDescent="0.35">
      <c r="A4" s="8">
        <v>1</v>
      </c>
      <c r="B4" s="9" t="s">
        <v>588</v>
      </c>
      <c r="C4" s="9" t="s">
        <v>589</v>
      </c>
      <c r="D4" s="9" t="s">
        <v>590</v>
      </c>
      <c r="E4" s="9" t="s">
        <v>591</v>
      </c>
      <c r="F4" s="14" t="s">
        <v>592</v>
      </c>
    </row>
    <row r="5" spans="1:6" ht="57.5" x14ac:dyDescent="0.35">
      <c r="A5" s="8">
        <v>2</v>
      </c>
      <c r="B5" s="9" t="s">
        <v>593</v>
      </c>
      <c r="C5" s="9" t="s">
        <v>594</v>
      </c>
      <c r="D5" s="9" t="s">
        <v>595</v>
      </c>
      <c r="E5" s="9" t="s">
        <v>596</v>
      </c>
      <c r="F5" s="14" t="s">
        <v>592</v>
      </c>
    </row>
    <row r="6" spans="1:6" ht="46" x14ac:dyDescent="0.35">
      <c r="A6" s="8">
        <v>3</v>
      </c>
      <c r="B6" s="9" t="s">
        <v>597</v>
      </c>
      <c r="C6" s="9" t="s">
        <v>598</v>
      </c>
      <c r="D6" s="9" t="s">
        <v>599</v>
      </c>
      <c r="E6" s="9" t="s">
        <v>600</v>
      </c>
      <c r="F6" s="14" t="s">
        <v>592</v>
      </c>
    </row>
    <row r="7" spans="1:6" ht="34.5" x14ac:dyDescent="0.35">
      <c r="A7" s="8">
        <v>4</v>
      </c>
      <c r="B7" s="9" t="s">
        <v>601</v>
      </c>
      <c r="C7" s="9" t="s">
        <v>602</v>
      </c>
      <c r="D7" s="9" t="s">
        <v>603</v>
      </c>
      <c r="E7" s="9" t="s">
        <v>604</v>
      </c>
      <c r="F7" s="6" t="s">
        <v>605</v>
      </c>
    </row>
    <row r="8" spans="1:6" ht="34.5" x14ac:dyDescent="0.35">
      <c r="A8" s="8">
        <v>5</v>
      </c>
      <c r="B8" s="9" t="s">
        <v>606</v>
      </c>
      <c r="C8" s="9" t="s">
        <v>607</v>
      </c>
      <c r="D8" s="9" t="s">
        <v>608</v>
      </c>
      <c r="E8" s="9" t="s">
        <v>609</v>
      </c>
      <c r="F8" s="6" t="s">
        <v>610</v>
      </c>
    </row>
    <row r="11" spans="1:6" x14ac:dyDescent="0.35">
      <c r="A11" s="31" t="s">
        <v>611</v>
      </c>
      <c r="B11" s="29"/>
      <c r="C11" s="29"/>
      <c r="D11" s="29"/>
      <c r="E11" s="29"/>
      <c r="F11" s="29"/>
    </row>
    <row r="12" spans="1:6" ht="23" x14ac:dyDescent="0.35">
      <c r="A12" s="1" t="s">
        <v>612</v>
      </c>
      <c r="B12" s="1" t="s">
        <v>613</v>
      </c>
      <c r="C12" s="1" t="s">
        <v>614</v>
      </c>
      <c r="D12" s="1" t="s">
        <v>615</v>
      </c>
      <c r="E12" s="1" t="s">
        <v>616</v>
      </c>
      <c r="F12" s="1" t="s">
        <v>617</v>
      </c>
    </row>
    <row r="13" spans="1:6" ht="80.5" x14ac:dyDescent="0.35">
      <c r="A13" s="9" t="s">
        <v>618</v>
      </c>
      <c r="B13" s="9" t="s">
        <v>619</v>
      </c>
      <c r="C13" s="15">
        <v>150</v>
      </c>
      <c r="D13" s="15">
        <v>150</v>
      </c>
      <c r="E13" s="15">
        <f t="shared" ref="E13:E23" si="0">D13-C13</f>
        <v>0</v>
      </c>
      <c r="F13" s="9" t="s">
        <v>620</v>
      </c>
    </row>
    <row r="14" spans="1:6" ht="92" x14ac:dyDescent="0.35">
      <c r="A14" s="9" t="s">
        <v>317</v>
      </c>
      <c r="B14" s="9" t="s">
        <v>621</v>
      </c>
      <c r="C14" s="15">
        <v>35</v>
      </c>
      <c r="D14" s="15">
        <v>35</v>
      </c>
      <c r="E14" s="15">
        <f t="shared" si="0"/>
        <v>0</v>
      </c>
      <c r="F14" s="9" t="s">
        <v>620</v>
      </c>
    </row>
    <row r="15" spans="1:6" ht="34.5" x14ac:dyDescent="0.35">
      <c r="A15" s="9" t="s">
        <v>321</v>
      </c>
      <c r="B15" s="9" t="s">
        <v>622</v>
      </c>
      <c r="C15" s="15">
        <v>68</v>
      </c>
      <c r="D15" s="15">
        <v>82</v>
      </c>
      <c r="E15" s="15">
        <f t="shared" si="0"/>
        <v>14</v>
      </c>
      <c r="F15" s="9" t="s">
        <v>623</v>
      </c>
    </row>
    <row r="16" spans="1:6" ht="46" x14ac:dyDescent="0.35">
      <c r="A16" s="9" t="s">
        <v>313</v>
      </c>
      <c r="B16" s="9" t="s">
        <v>624</v>
      </c>
      <c r="C16" s="15">
        <v>195</v>
      </c>
      <c r="D16" s="15">
        <v>195</v>
      </c>
      <c r="E16" s="15">
        <f t="shared" si="0"/>
        <v>0</v>
      </c>
      <c r="F16" s="9" t="s">
        <v>625</v>
      </c>
    </row>
    <row r="17" spans="1:6" ht="92" x14ac:dyDescent="0.35">
      <c r="A17" s="9" t="s">
        <v>326</v>
      </c>
      <c r="B17" s="9" t="s">
        <v>324</v>
      </c>
      <c r="C17" s="15">
        <v>100</v>
      </c>
      <c r="D17" s="15">
        <v>100</v>
      </c>
      <c r="E17" s="15">
        <f t="shared" si="0"/>
        <v>0</v>
      </c>
      <c r="F17" s="9" t="s">
        <v>620</v>
      </c>
    </row>
    <row r="18" spans="1:6" ht="69" x14ac:dyDescent="0.35">
      <c r="A18" s="9" t="s">
        <v>277</v>
      </c>
      <c r="B18" s="9" t="s">
        <v>626</v>
      </c>
      <c r="C18" s="15">
        <v>391</v>
      </c>
      <c r="D18" s="15">
        <v>394</v>
      </c>
      <c r="E18" s="15">
        <f t="shared" si="0"/>
        <v>3</v>
      </c>
      <c r="F18" s="9" t="s">
        <v>623</v>
      </c>
    </row>
    <row r="19" spans="1:6" ht="80.5" x14ac:dyDescent="0.35">
      <c r="A19" s="16" t="s">
        <v>627</v>
      </c>
      <c r="B19" s="16" t="s">
        <v>628</v>
      </c>
      <c r="C19" s="17">
        <v>253</v>
      </c>
      <c r="D19" s="17">
        <v>300</v>
      </c>
      <c r="E19" s="17">
        <f t="shared" si="0"/>
        <v>47</v>
      </c>
      <c r="F19" s="16" t="s">
        <v>629</v>
      </c>
    </row>
    <row r="20" spans="1:6" ht="69" x14ac:dyDescent="0.35">
      <c r="A20" s="9" t="s">
        <v>630</v>
      </c>
      <c r="B20" s="9" t="s">
        <v>301</v>
      </c>
      <c r="C20" s="15">
        <v>100</v>
      </c>
      <c r="D20" s="15">
        <v>100</v>
      </c>
      <c r="E20" s="15">
        <f t="shared" si="0"/>
        <v>0</v>
      </c>
      <c r="F20" s="9" t="s">
        <v>620</v>
      </c>
    </row>
    <row r="21" spans="1:6" ht="46" x14ac:dyDescent="0.35">
      <c r="A21" s="9" t="s">
        <v>329</v>
      </c>
      <c r="B21" s="9" t="s">
        <v>328</v>
      </c>
      <c r="C21" s="15">
        <v>15</v>
      </c>
      <c r="D21" s="15">
        <v>20</v>
      </c>
      <c r="E21" s="15">
        <f t="shared" si="0"/>
        <v>5</v>
      </c>
      <c r="F21" s="9" t="s">
        <v>623</v>
      </c>
    </row>
    <row r="22" spans="1:6" ht="69" x14ac:dyDescent="0.35">
      <c r="A22" s="9" t="s">
        <v>334</v>
      </c>
      <c r="B22" s="9" t="s">
        <v>333</v>
      </c>
      <c r="C22" s="15">
        <v>10</v>
      </c>
      <c r="D22" s="15">
        <v>50</v>
      </c>
      <c r="E22" s="15">
        <f t="shared" si="0"/>
        <v>40</v>
      </c>
      <c r="F22" s="9" t="s">
        <v>623</v>
      </c>
    </row>
    <row r="23" spans="1:6" x14ac:dyDescent="0.35">
      <c r="A23" s="18" t="s">
        <v>631</v>
      </c>
      <c r="B23" s="19"/>
      <c r="C23" s="20">
        <f>SUM(C13:C22)</f>
        <v>1317</v>
      </c>
      <c r="D23" s="20">
        <f>SUM(D13:D22)</f>
        <v>1426</v>
      </c>
      <c r="E23" s="20">
        <f t="shared" si="0"/>
        <v>109</v>
      </c>
      <c r="F23" s="21" t="s">
        <v>632</v>
      </c>
    </row>
    <row r="25" spans="1:6" ht="120" x14ac:dyDescent="0.35">
      <c r="A25" s="10" t="s">
        <v>633</v>
      </c>
      <c r="B25" s="13" t="s">
        <v>634</v>
      </c>
    </row>
  </sheetData>
  <mergeCells count="2">
    <mergeCell ref="A11:F11"/>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2"/>
  <sheetViews>
    <sheetView workbookViewId="0"/>
  </sheetViews>
  <sheetFormatPr defaultRowHeight="14.5" x14ac:dyDescent="0.35"/>
  <cols>
    <col min="1" max="1" width="17" customWidth="1"/>
    <col min="2" max="2" width="26" customWidth="1"/>
    <col min="3" max="3" width="22" customWidth="1"/>
    <col min="4" max="4" width="58" customWidth="1"/>
    <col min="5" max="5" width="64" customWidth="1"/>
    <col min="6" max="7" width="44" customWidth="1"/>
  </cols>
  <sheetData>
    <row r="1" spans="1:7" ht="24" customHeight="1" x14ac:dyDescent="0.35">
      <c r="A1" s="30" t="s">
        <v>635</v>
      </c>
      <c r="B1" s="29"/>
      <c r="C1" s="29"/>
      <c r="D1" s="29"/>
      <c r="E1" s="29"/>
      <c r="F1" s="29"/>
      <c r="G1" s="29"/>
    </row>
    <row r="2" spans="1:7" ht="56" customHeight="1" x14ac:dyDescent="0.35">
      <c r="A2" s="33" t="s">
        <v>636</v>
      </c>
      <c r="B2" s="29"/>
      <c r="C2" s="29"/>
      <c r="D2" s="29"/>
      <c r="E2" s="29"/>
      <c r="F2" s="29"/>
      <c r="G2" s="29"/>
    </row>
    <row r="4" spans="1:7" x14ac:dyDescent="0.35">
      <c r="A4" s="31" t="s">
        <v>637</v>
      </c>
      <c r="B4" s="29"/>
      <c r="C4" s="29"/>
      <c r="D4" s="29"/>
      <c r="E4" s="29"/>
      <c r="F4" s="29"/>
      <c r="G4" s="29"/>
    </row>
    <row r="5" spans="1:7" x14ac:dyDescent="0.35">
      <c r="A5" s="22" t="s">
        <v>638</v>
      </c>
      <c r="B5" s="22" t="s">
        <v>639</v>
      </c>
      <c r="C5" s="22" t="s">
        <v>640</v>
      </c>
    </row>
    <row r="6" spans="1:7" ht="46" x14ac:dyDescent="0.35">
      <c r="A6" s="8" t="s">
        <v>641</v>
      </c>
      <c r="B6" s="9" t="s">
        <v>642</v>
      </c>
      <c r="C6" s="9" t="s">
        <v>643</v>
      </c>
    </row>
    <row r="7" spans="1:7" ht="34.5" x14ac:dyDescent="0.35">
      <c r="A7" s="8" t="s">
        <v>644</v>
      </c>
      <c r="B7" s="9" t="s">
        <v>645</v>
      </c>
      <c r="C7" s="9" t="s">
        <v>643</v>
      </c>
    </row>
    <row r="8" spans="1:7" ht="46" x14ac:dyDescent="0.35">
      <c r="A8" s="8" t="s">
        <v>646</v>
      </c>
      <c r="B8" s="9" t="s">
        <v>647</v>
      </c>
      <c r="C8" s="9" t="s">
        <v>643</v>
      </c>
    </row>
    <row r="9" spans="1:7" ht="57.5" x14ac:dyDescent="0.35">
      <c r="A9" s="8" t="s">
        <v>648</v>
      </c>
      <c r="B9" s="9" t="s">
        <v>649</v>
      </c>
      <c r="C9" s="9" t="s">
        <v>643</v>
      </c>
    </row>
    <row r="10" spans="1:7" ht="34.5" x14ac:dyDescent="0.35">
      <c r="A10" s="23" t="s">
        <v>650</v>
      </c>
      <c r="B10" s="24" t="s">
        <v>651</v>
      </c>
      <c r="C10" s="24" t="s">
        <v>652</v>
      </c>
    </row>
    <row r="11" spans="1:7" x14ac:dyDescent="0.35">
      <c r="A11" s="8" t="s">
        <v>653</v>
      </c>
      <c r="B11" s="9" t="s">
        <v>654</v>
      </c>
      <c r="C11" s="9" t="s">
        <v>655</v>
      </c>
    </row>
    <row r="12" spans="1:7" ht="34.5" x14ac:dyDescent="0.35">
      <c r="A12" s="8" t="s">
        <v>656</v>
      </c>
      <c r="B12" s="9" t="s">
        <v>657</v>
      </c>
      <c r="C12" s="9" t="s">
        <v>655</v>
      </c>
    </row>
    <row r="13" spans="1:7" ht="34.5" x14ac:dyDescent="0.35">
      <c r="A13" s="8" t="s">
        <v>658</v>
      </c>
      <c r="B13" s="9" t="s">
        <v>659</v>
      </c>
      <c r="C13" s="9" t="s">
        <v>655</v>
      </c>
    </row>
    <row r="14" spans="1:7" x14ac:dyDescent="0.35">
      <c r="A14" s="8" t="s">
        <v>660</v>
      </c>
      <c r="B14" s="9" t="s">
        <v>661</v>
      </c>
      <c r="C14" s="9" t="s">
        <v>655</v>
      </c>
    </row>
    <row r="15" spans="1:7" ht="34.5" x14ac:dyDescent="0.35">
      <c r="A15" s="8" t="s">
        <v>662</v>
      </c>
      <c r="B15" s="9" t="s">
        <v>663</v>
      </c>
      <c r="C15" s="9" t="s">
        <v>655</v>
      </c>
    </row>
    <row r="16" spans="1:7" ht="170" x14ac:dyDescent="0.35">
      <c r="A16" s="10" t="s">
        <v>495</v>
      </c>
      <c r="B16" s="13" t="s">
        <v>664</v>
      </c>
    </row>
    <row r="19" spans="1:7" x14ac:dyDescent="0.35">
      <c r="A19" s="31" t="s">
        <v>665</v>
      </c>
      <c r="B19" s="29"/>
      <c r="C19" s="29"/>
      <c r="D19" s="29"/>
      <c r="E19" s="29"/>
      <c r="F19" s="29"/>
      <c r="G19" s="29"/>
    </row>
    <row r="20" spans="1:7" ht="115" x14ac:dyDescent="0.35">
      <c r="A20" s="8" t="s">
        <v>666</v>
      </c>
      <c r="B20" s="9" t="s">
        <v>667</v>
      </c>
      <c r="C20" s="8" t="s">
        <v>668</v>
      </c>
    </row>
    <row r="21" spans="1:7" ht="80.5" x14ac:dyDescent="0.35">
      <c r="A21" s="8" t="s">
        <v>669</v>
      </c>
      <c r="B21" s="9" t="s">
        <v>670</v>
      </c>
      <c r="C21" s="8" t="s">
        <v>671</v>
      </c>
    </row>
    <row r="22" spans="1:7" ht="57.5" x14ac:dyDescent="0.35">
      <c r="A22" s="8" t="s">
        <v>672</v>
      </c>
      <c r="B22" s="9" t="s">
        <v>673</v>
      </c>
      <c r="C22" s="8" t="s">
        <v>674</v>
      </c>
    </row>
    <row r="25" spans="1:7" x14ac:dyDescent="0.35">
      <c r="A25" s="31" t="s">
        <v>675</v>
      </c>
      <c r="B25" s="29"/>
      <c r="C25" s="29"/>
      <c r="D25" s="29"/>
      <c r="E25" s="29"/>
      <c r="F25" s="29"/>
      <c r="G25" s="29"/>
    </row>
    <row r="26" spans="1:7" ht="34" customHeight="1" x14ac:dyDescent="0.35">
      <c r="A26" s="1" t="s">
        <v>2</v>
      </c>
      <c r="B26" s="1" t="s">
        <v>4</v>
      </c>
      <c r="C26" s="1" t="s">
        <v>676</v>
      </c>
      <c r="D26" s="1" t="s">
        <v>677</v>
      </c>
      <c r="E26" s="1" t="s">
        <v>678</v>
      </c>
      <c r="F26" s="1" t="s">
        <v>679</v>
      </c>
      <c r="G26" s="1" t="s">
        <v>680</v>
      </c>
    </row>
    <row r="27" spans="1:7" ht="50" x14ac:dyDescent="0.35">
      <c r="A27" s="8" t="s">
        <v>255</v>
      </c>
      <c r="B27" s="8" t="s">
        <v>257</v>
      </c>
      <c r="C27" s="9" t="s">
        <v>681</v>
      </c>
      <c r="D27" s="9" t="s">
        <v>682</v>
      </c>
      <c r="E27" s="14" t="s">
        <v>683</v>
      </c>
      <c r="F27" s="9" t="s">
        <v>684</v>
      </c>
      <c r="G27" s="5" t="s">
        <v>260</v>
      </c>
    </row>
    <row r="28" spans="1:7" ht="40" x14ac:dyDescent="0.35">
      <c r="A28" s="8" t="s">
        <v>685</v>
      </c>
      <c r="B28" s="8" t="s">
        <v>107</v>
      </c>
      <c r="C28" s="9" t="s">
        <v>686</v>
      </c>
      <c r="D28" s="9" t="s">
        <v>687</v>
      </c>
      <c r="E28" s="14" t="s">
        <v>666</v>
      </c>
      <c r="F28" s="9" t="s">
        <v>688</v>
      </c>
      <c r="G28" s="5" t="s">
        <v>98</v>
      </c>
    </row>
    <row r="29" spans="1:7" ht="40" x14ac:dyDescent="0.35">
      <c r="A29" s="8" t="s">
        <v>685</v>
      </c>
      <c r="B29" s="8" t="s">
        <v>119</v>
      </c>
      <c r="C29" s="9" t="s">
        <v>686</v>
      </c>
      <c r="D29" s="9" t="s">
        <v>689</v>
      </c>
      <c r="E29" s="14" t="s">
        <v>666</v>
      </c>
      <c r="F29" s="9" t="s">
        <v>690</v>
      </c>
      <c r="G29" s="5" t="s">
        <v>98</v>
      </c>
    </row>
    <row r="30" spans="1:7" ht="40" x14ac:dyDescent="0.35">
      <c r="A30" s="8" t="s">
        <v>685</v>
      </c>
      <c r="B30" s="8" t="s">
        <v>96</v>
      </c>
      <c r="C30" s="9" t="s">
        <v>691</v>
      </c>
      <c r="D30" s="9" t="s">
        <v>692</v>
      </c>
      <c r="E30" s="25" t="s">
        <v>693</v>
      </c>
      <c r="F30" s="9" t="s">
        <v>694</v>
      </c>
      <c r="G30" s="5" t="s">
        <v>98</v>
      </c>
    </row>
    <row r="31" spans="1:7" ht="40" x14ac:dyDescent="0.35">
      <c r="A31" s="8" t="s">
        <v>685</v>
      </c>
      <c r="B31" s="8" t="s">
        <v>146</v>
      </c>
      <c r="C31" s="9" t="s">
        <v>695</v>
      </c>
      <c r="D31" s="9" t="s">
        <v>696</v>
      </c>
      <c r="E31" s="6" t="s">
        <v>697</v>
      </c>
      <c r="F31" s="9" t="s">
        <v>698</v>
      </c>
      <c r="G31" s="5" t="s">
        <v>98</v>
      </c>
    </row>
    <row r="32" spans="1:7" ht="40" x14ac:dyDescent="0.35">
      <c r="A32" s="8" t="s">
        <v>685</v>
      </c>
      <c r="B32" s="8" t="s">
        <v>153</v>
      </c>
      <c r="C32" s="9" t="s">
        <v>699</v>
      </c>
      <c r="D32" s="9" t="s">
        <v>700</v>
      </c>
      <c r="E32" s="14" t="s">
        <v>666</v>
      </c>
      <c r="F32" s="9" t="s">
        <v>701</v>
      </c>
      <c r="G32" s="5" t="s">
        <v>98</v>
      </c>
    </row>
    <row r="33" spans="1:7" ht="80" x14ac:dyDescent="0.35">
      <c r="A33" s="8" t="s">
        <v>685</v>
      </c>
      <c r="B33" s="8" t="s">
        <v>130</v>
      </c>
      <c r="C33" s="9" t="s">
        <v>702</v>
      </c>
      <c r="D33" s="9" t="s">
        <v>703</v>
      </c>
      <c r="E33" s="7" t="s">
        <v>704</v>
      </c>
      <c r="F33" s="9" t="s">
        <v>705</v>
      </c>
      <c r="G33" s="5" t="s">
        <v>136</v>
      </c>
    </row>
    <row r="34" spans="1:7" ht="70" x14ac:dyDescent="0.35">
      <c r="A34" s="8" t="s">
        <v>685</v>
      </c>
      <c r="B34" s="8" t="s">
        <v>706</v>
      </c>
      <c r="C34" s="9" t="s">
        <v>707</v>
      </c>
      <c r="D34" s="9" t="s">
        <v>708</v>
      </c>
      <c r="E34" s="7" t="s">
        <v>709</v>
      </c>
      <c r="F34" s="9" t="s">
        <v>710</v>
      </c>
      <c r="G34" s="5" t="s">
        <v>111</v>
      </c>
    </row>
    <row r="35" spans="1:7" ht="70" x14ac:dyDescent="0.35">
      <c r="A35" s="8" t="s">
        <v>414</v>
      </c>
      <c r="B35" s="8" t="s">
        <v>416</v>
      </c>
      <c r="C35" s="9" t="s">
        <v>702</v>
      </c>
      <c r="D35" s="9" t="s">
        <v>711</v>
      </c>
      <c r="E35" s="6" t="s">
        <v>712</v>
      </c>
      <c r="F35" s="9" t="s">
        <v>713</v>
      </c>
      <c r="G35" s="5" t="s">
        <v>421</v>
      </c>
    </row>
    <row r="36" spans="1:7" ht="30" x14ac:dyDescent="0.35">
      <c r="A36" s="8" t="s">
        <v>414</v>
      </c>
      <c r="B36" s="8" t="s">
        <v>431</v>
      </c>
      <c r="C36" s="9" t="s">
        <v>714</v>
      </c>
      <c r="D36" s="9" t="s">
        <v>715</v>
      </c>
      <c r="E36" s="14" t="s">
        <v>666</v>
      </c>
      <c r="F36" s="9" t="s">
        <v>716</v>
      </c>
      <c r="G36" s="5" t="s">
        <v>418</v>
      </c>
    </row>
    <row r="37" spans="1:7" ht="40" x14ac:dyDescent="0.35">
      <c r="A37" s="8" t="s">
        <v>28</v>
      </c>
      <c r="B37" s="8" t="s">
        <v>29</v>
      </c>
      <c r="C37" s="9" t="s">
        <v>717</v>
      </c>
      <c r="D37" s="9" t="s">
        <v>718</v>
      </c>
      <c r="E37" s="14" t="s">
        <v>666</v>
      </c>
      <c r="F37" s="9" t="s">
        <v>719</v>
      </c>
      <c r="G37" s="5" t="s">
        <v>31</v>
      </c>
    </row>
    <row r="38" spans="1:7" ht="40" x14ac:dyDescent="0.35">
      <c r="A38" s="8" t="s">
        <v>28</v>
      </c>
      <c r="B38" s="8" t="s">
        <v>45</v>
      </c>
      <c r="C38" s="9" t="s">
        <v>47</v>
      </c>
      <c r="D38" s="9" t="s">
        <v>720</v>
      </c>
      <c r="E38" s="14" t="s">
        <v>666</v>
      </c>
      <c r="F38" s="9" t="s">
        <v>721</v>
      </c>
      <c r="G38" s="5" t="s">
        <v>38</v>
      </c>
    </row>
    <row r="39" spans="1:7" ht="40" x14ac:dyDescent="0.35">
      <c r="A39" s="8" t="s">
        <v>28</v>
      </c>
      <c r="B39" s="8" t="s">
        <v>53</v>
      </c>
      <c r="C39" s="9" t="s">
        <v>55</v>
      </c>
      <c r="D39" s="9" t="s">
        <v>722</v>
      </c>
      <c r="E39" s="6" t="s">
        <v>697</v>
      </c>
      <c r="F39" s="9" t="s">
        <v>723</v>
      </c>
      <c r="G39" s="5" t="s">
        <v>31</v>
      </c>
    </row>
    <row r="40" spans="1:7" ht="50" x14ac:dyDescent="0.35">
      <c r="A40" s="8" t="s">
        <v>337</v>
      </c>
      <c r="B40" s="8" t="s">
        <v>353</v>
      </c>
      <c r="C40" s="9" t="s">
        <v>724</v>
      </c>
      <c r="D40" s="9" t="s">
        <v>725</v>
      </c>
      <c r="E40" s="25" t="s">
        <v>726</v>
      </c>
      <c r="F40" s="9" t="s">
        <v>727</v>
      </c>
      <c r="G40" s="5" t="s">
        <v>341</v>
      </c>
    </row>
    <row r="41" spans="1:7" ht="50" x14ac:dyDescent="0.35">
      <c r="A41" s="8" t="s">
        <v>337</v>
      </c>
      <c r="B41" s="8" t="s">
        <v>363</v>
      </c>
      <c r="C41" s="9" t="s">
        <v>728</v>
      </c>
      <c r="D41" s="9" t="s">
        <v>729</v>
      </c>
      <c r="E41" s="25" t="s">
        <v>726</v>
      </c>
      <c r="F41" s="9" t="s">
        <v>730</v>
      </c>
      <c r="G41" s="5" t="s">
        <v>341</v>
      </c>
    </row>
    <row r="42" spans="1:7" ht="50" x14ac:dyDescent="0.35">
      <c r="A42" s="8" t="s">
        <v>337</v>
      </c>
      <c r="B42" s="8" t="s">
        <v>369</v>
      </c>
      <c r="C42" s="9" t="s">
        <v>731</v>
      </c>
      <c r="D42" s="9" t="s">
        <v>732</v>
      </c>
      <c r="E42" s="25" t="s">
        <v>733</v>
      </c>
      <c r="F42" s="9" t="s">
        <v>734</v>
      </c>
      <c r="G42" s="5" t="s">
        <v>341</v>
      </c>
    </row>
    <row r="43" spans="1:7" ht="50" x14ac:dyDescent="0.35">
      <c r="A43" s="8" t="s">
        <v>337</v>
      </c>
      <c r="B43" s="8" t="s">
        <v>735</v>
      </c>
      <c r="C43" s="9" t="s">
        <v>702</v>
      </c>
      <c r="D43" s="9" t="s">
        <v>736</v>
      </c>
      <c r="E43" s="7" t="s">
        <v>737</v>
      </c>
      <c r="F43" s="9" t="s">
        <v>738</v>
      </c>
      <c r="G43" s="5" t="s">
        <v>341</v>
      </c>
    </row>
    <row r="44" spans="1:7" ht="50" x14ac:dyDescent="0.35">
      <c r="A44" s="8" t="s">
        <v>337</v>
      </c>
      <c r="B44" s="8" t="s">
        <v>739</v>
      </c>
      <c r="C44" s="9" t="s">
        <v>740</v>
      </c>
      <c r="D44" s="9" t="s">
        <v>741</v>
      </c>
      <c r="E44" s="7" t="s">
        <v>737</v>
      </c>
      <c r="F44" s="9" t="s">
        <v>742</v>
      </c>
      <c r="G44" s="5" t="s">
        <v>341</v>
      </c>
    </row>
    <row r="45" spans="1:7" ht="40" x14ac:dyDescent="0.35">
      <c r="A45" s="8" t="s">
        <v>271</v>
      </c>
      <c r="B45" s="8" t="s">
        <v>273</v>
      </c>
      <c r="C45" s="9" t="s">
        <v>743</v>
      </c>
      <c r="D45" s="9" t="s">
        <v>744</v>
      </c>
      <c r="E45" s="14" t="s">
        <v>745</v>
      </c>
      <c r="F45" s="9" t="s">
        <v>746</v>
      </c>
      <c r="G45" s="5" t="s">
        <v>275</v>
      </c>
    </row>
    <row r="46" spans="1:7" ht="80" x14ac:dyDescent="0.35">
      <c r="A46" s="8" t="s">
        <v>271</v>
      </c>
      <c r="B46" s="8" t="s">
        <v>286</v>
      </c>
      <c r="C46" s="9" t="s">
        <v>747</v>
      </c>
      <c r="D46" s="9" t="s">
        <v>748</v>
      </c>
      <c r="E46" s="14" t="s">
        <v>749</v>
      </c>
      <c r="F46" s="9" t="s">
        <v>750</v>
      </c>
      <c r="G46" s="5" t="s">
        <v>290</v>
      </c>
    </row>
    <row r="47" spans="1:7" ht="40" x14ac:dyDescent="0.35">
      <c r="A47" s="8" t="s">
        <v>271</v>
      </c>
      <c r="B47" s="8" t="s">
        <v>327</v>
      </c>
      <c r="C47" s="9" t="s">
        <v>751</v>
      </c>
      <c r="D47" s="9" t="s">
        <v>752</v>
      </c>
      <c r="E47" s="25" t="s">
        <v>753</v>
      </c>
      <c r="F47" s="9" t="s">
        <v>754</v>
      </c>
      <c r="G47" s="5" t="s">
        <v>275</v>
      </c>
    </row>
    <row r="48" spans="1:7" ht="30" x14ac:dyDescent="0.35">
      <c r="A48" s="8" t="s">
        <v>449</v>
      </c>
      <c r="B48" s="8" t="s">
        <v>431</v>
      </c>
      <c r="C48" s="9" t="s">
        <v>755</v>
      </c>
      <c r="D48" s="9" t="s">
        <v>756</v>
      </c>
      <c r="E48" s="25" t="s">
        <v>757</v>
      </c>
      <c r="F48" s="9" t="s">
        <v>758</v>
      </c>
      <c r="G48" s="5" t="s">
        <v>453</v>
      </c>
    </row>
    <row r="49" spans="1:7" ht="40" x14ac:dyDescent="0.35">
      <c r="A49" s="8" t="s">
        <v>173</v>
      </c>
      <c r="B49" s="8" t="s">
        <v>759</v>
      </c>
      <c r="C49" s="9" t="s">
        <v>760</v>
      </c>
      <c r="D49" s="9" t="s">
        <v>761</v>
      </c>
      <c r="E49" s="25" t="s">
        <v>762</v>
      </c>
      <c r="F49" s="9" t="s">
        <v>763</v>
      </c>
      <c r="G49" s="5" t="s">
        <v>177</v>
      </c>
    </row>
    <row r="52" spans="1:7" x14ac:dyDescent="0.35">
      <c r="A52" s="31" t="s">
        <v>764</v>
      </c>
      <c r="B52" s="29"/>
      <c r="C52" s="29"/>
      <c r="D52" s="29"/>
      <c r="E52" s="29"/>
      <c r="F52" s="29"/>
      <c r="G52" s="29"/>
    </row>
    <row r="53" spans="1:7" x14ac:dyDescent="0.35">
      <c r="A53" s="1" t="s">
        <v>582</v>
      </c>
      <c r="B53" s="1" t="s">
        <v>765</v>
      </c>
      <c r="C53" s="1" t="s">
        <v>766</v>
      </c>
      <c r="D53" s="1" t="s">
        <v>767</v>
      </c>
      <c r="E53" s="1" t="s">
        <v>768</v>
      </c>
      <c r="F53" s="1" t="s">
        <v>769</v>
      </c>
    </row>
    <row r="54" spans="1:7" ht="103.5" x14ac:dyDescent="0.35">
      <c r="A54" s="8">
        <v>1</v>
      </c>
      <c r="B54" s="8" t="s">
        <v>770</v>
      </c>
      <c r="C54" s="9" t="s">
        <v>771</v>
      </c>
      <c r="D54" s="16" t="s">
        <v>772</v>
      </c>
      <c r="E54" s="26" t="s">
        <v>773</v>
      </c>
      <c r="F54" s="9" t="s">
        <v>774</v>
      </c>
    </row>
    <row r="55" spans="1:7" ht="80.5" x14ac:dyDescent="0.35">
      <c r="A55" s="8">
        <v>2</v>
      </c>
      <c r="B55" s="8" t="s">
        <v>775</v>
      </c>
      <c r="C55" s="9" t="s">
        <v>776</v>
      </c>
      <c r="D55" s="16" t="s">
        <v>777</v>
      </c>
      <c r="E55" s="26" t="s">
        <v>778</v>
      </c>
      <c r="F55" s="9" t="s">
        <v>779</v>
      </c>
    </row>
    <row r="56" spans="1:7" ht="92" x14ac:dyDescent="0.35">
      <c r="A56" s="8">
        <v>3</v>
      </c>
      <c r="B56" s="8" t="s">
        <v>780</v>
      </c>
      <c r="C56" s="9" t="s">
        <v>781</v>
      </c>
      <c r="D56" s="16" t="s">
        <v>782</v>
      </c>
      <c r="E56" s="26" t="s">
        <v>783</v>
      </c>
      <c r="F56" s="9" t="s">
        <v>784</v>
      </c>
    </row>
    <row r="57" spans="1:7" ht="92" x14ac:dyDescent="0.35">
      <c r="A57" s="8">
        <v>4</v>
      </c>
      <c r="B57" s="8" t="s">
        <v>785</v>
      </c>
      <c r="C57" s="9" t="s">
        <v>786</v>
      </c>
      <c r="D57" s="16" t="s">
        <v>787</v>
      </c>
      <c r="E57" s="26" t="s">
        <v>788</v>
      </c>
      <c r="F57" s="9" t="s">
        <v>789</v>
      </c>
    </row>
    <row r="58" spans="1:7" ht="80.5" x14ac:dyDescent="0.35">
      <c r="A58" s="8">
        <v>5</v>
      </c>
      <c r="B58" s="8" t="s">
        <v>790</v>
      </c>
      <c r="C58" s="9" t="s">
        <v>791</v>
      </c>
      <c r="D58" s="16" t="s">
        <v>792</v>
      </c>
      <c r="E58" s="26" t="s">
        <v>793</v>
      </c>
      <c r="F58" s="9" t="s">
        <v>794</v>
      </c>
    </row>
    <row r="60" spans="1:7" ht="240" x14ac:dyDescent="0.35">
      <c r="A60" s="10" t="s">
        <v>633</v>
      </c>
      <c r="B60" s="13" t="s">
        <v>795</v>
      </c>
    </row>
    <row r="62" spans="1:7" ht="60" customHeight="1" x14ac:dyDescent="0.35">
      <c r="A62" s="27" t="s">
        <v>796</v>
      </c>
      <c r="B62" s="32" t="s">
        <v>797</v>
      </c>
      <c r="C62" s="29"/>
      <c r="D62" s="29"/>
      <c r="E62" s="29"/>
      <c r="F62" s="29"/>
      <c r="G62" s="29"/>
    </row>
  </sheetData>
  <mergeCells count="7">
    <mergeCell ref="B62:G62"/>
    <mergeCell ref="A1:G1"/>
    <mergeCell ref="A4:G4"/>
    <mergeCell ref="A2:G2"/>
    <mergeCell ref="A52:G52"/>
    <mergeCell ref="A25:G25"/>
    <mergeCell ref="A19:G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Site Master</vt:lpstr>
      <vt:lpstr>Company Roll-Up</vt:lpstr>
      <vt:lpstr>Methodology and Sources</vt:lpstr>
      <vt:lpstr>Discrepancy Log</vt:lpstr>
      <vt:lpstr>ERCOT Overlay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Sanskar Chindalia</cp:lastModifiedBy>
  <dcterms:created xsi:type="dcterms:W3CDTF">2026-08-04T09:41:28Z</dcterms:created>
  <dcterms:modified xsi:type="dcterms:W3CDTF">2026-08-04T09:43:45Z</dcterms:modified>
</cp:coreProperties>
</file>