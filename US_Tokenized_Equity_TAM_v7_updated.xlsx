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ources" sheetId="2" state="visible" r:id="rId2"/>
    <sheet xmlns:r="http://schemas.openxmlformats.org/officeDocument/2006/relationships" name="Inputs" sheetId="3" state="visible" r:id="rId3"/>
    <sheet xmlns:r="http://schemas.openxmlformats.org/officeDocument/2006/relationships" name="Penetration" sheetId="4" state="visible" r:id="rId4"/>
    <sheet xmlns:r="http://schemas.openxmlformats.org/officeDocument/2006/relationships" name="Projection" sheetId="5" state="visible" r:id="rId5"/>
    <sheet xmlns:r="http://schemas.openxmlformats.org/officeDocument/2006/relationships" name="Revenue Pools" sheetId="6" state="visible" r:id="rId6"/>
    <sheet xmlns:r="http://schemas.openxmlformats.org/officeDocument/2006/relationships" name="Scenarios" sheetId="7" state="visible" r:id="rId7"/>
    <sheet xmlns:r="http://schemas.openxmlformats.org/officeDocument/2006/relationships" name="Analogues" sheetId="8" state="visible" r:id="rId8"/>
    <sheet xmlns:r="http://schemas.openxmlformats.org/officeDocument/2006/relationships" name="Audit" sheetId="9" state="visible" r:id="rId9"/>
  </sheets>
  <definedNames>
    <definedName name="_xlnm.Print_Titles" localSheetId="3">'Penetration'!$A:$B</definedName>
    <definedName name="_xlnm.Print_Titles" localSheetId="4">'Projection'!$A:$B</definedName>
    <definedName name="_xlnm.Print_Titles" localSheetId="5">'Revenue Pools'!$A:$B</definedName>
  </definedNames>
  <calcPr calcId="124519" fullCalcOnLoad="1"/>
</workbook>
</file>

<file path=xl/styles.xml><?xml version="1.0" encoding="utf-8"?>
<styleSheet xmlns="http://schemas.openxmlformats.org/spreadsheetml/2006/main">
  <numFmts count="9">
    <numFmt numFmtId="164" formatCode="#,##0;(#,##0);&quot;-&quot;"/>
    <numFmt numFmtId="165" formatCode="#,##0.0;(#,##0.0);&quot;-&quot;"/>
    <numFmt numFmtId="166" formatCode="0.00&quot;x&quot;"/>
    <numFmt numFmtId="167" formatCode="#,##0.00;(#,##0.00);&quot;-&quot;"/>
    <numFmt numFmtId="168" formatCode="0.0%"/>
    <numFmt numFmtId="169" formatCode="0.0000%"/>
    <numFmt numFmtId="170" formatCode="#,##0.000;(#,##0.000);&quot;-&quot;"/>
    <numFmt numFmtId="171" formatCode="0.0"/>
    <numFmt numFmtId="172" formatCode="0.000%"/>
  </numFmts>
  <fonts count="13">
    <font>
      <name val="Calibri"/>
      <family val="2"/>
      <color theme="1"/>
      <sz val="11"/>
      <scheme val="minor"/>
    </font>
    <font>
      <name val="Calibri"/>
      <b val="1"/>
      <color rgb="00FFFFFF"/>
      <sz val="14"/>
    </font>
    <font>
      <name val="Calibri"/>
      <color rgb="00FFFFFF"/>
      <sz val="10"/>
    </font>
    <font>
      <name val="Calibri"/>
      <b val="1"/>
      <color rgb="001F3864"/>
      <sz val="10"/>
    </font>
    <font>
      <name val="Calibri"/>
      <b val="1"/>
      <color rgb="00000000"/>
      <sz val="10"/>
    </font>
    <font>
      <name val="Calibri"/>
      <color rgb="00000000"/>
      <sz val="10"/>
    </font>
    <font>
      <name val="Calibri"/>
      <color rgb="000000CC"/>
      <sz val="10"/>
    </font>
    <font>
      <name val="Calibri"/>
      <color rgb="000563C1"/>
      <sz val="10"/>
      <u val="single"/>
    </font>
    <font>
      <name val="Calibri"/>
      <color rgb="00595959"/>
      <sz val="9"/>
    </font>
    <font>
      <name val="Calibri"/>
      <i val="1"/>
      <color rgb="00595959"/>
      <sz val="9"/>
    </font>
    <font>
      <sz val="9"/>
    </font>
    <font>
      <b val="1"/>
      <sz val="9"/>
    </font>
    <font>
      <b val="1"/>
      <color rgb="001F3864"/>
      <sz val="11"/>
    </font>
  </fonts>
  <fills count="4">
    <fill>
      <patternFill/>
    </fill>
    <fill>
      <patternFill patternType="gray125"/>
    </fill>
    <fill>
      <patternFill patternType="solid">
        <fgColor rgb="001F3864"/>
      </patternFill>
    </fill>
    <fill>
      <patternFill patternType="solid">
        <fgColor rgb="00F2F2F2"/>
      </patternFill>
    </fill>
  </fills>
  <borders count="3">
    <border>
      <left/>
      <right/>
      <top/>
      <bottom/>
      <diagonal/>
    </border>
    <border>
      <bottom style="thin">
        <color rgb="00BFBFBF"/>
      </bottom>
    </border>
    <border>
      <top style="thin">
        <color rgb="00BFBFBF"/>
      </top>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3" borderId="1" pivotButton="0" quotePrefix="0" xfId="0"/>
    <xf numFmtId="0" fontId="0" fillId="3" borderId="1"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0"/>
    <xf numFmtId="0" fontId="5" fillId="0" borderId="0" pivotButton="0" quotePrefix="0" xfId="0"/>
    <xf numFmtId="0" fontId="7" fillId="0" borderId="0" pivotButton="0" quotePrefix="0" xfId="0"/>
    <xf numFmtId="0" fontId="4" fillId="0" borderId="0" applyAlignment="1" pivotButton="0" quotePrefix="0" xfId="0">
      <alignment horizontal="left" vertical="center"/>
    </xf>
    <xf numFmtId="0" fontId="4" fillId="0" borderId="1" pivotButton="0" quotePrefix="0" xfId="0"/>
    <xf numFmtId="0" fontId="8" fillId="0" borderId="0" pivotButton="0" quotePrefix="0" xfId="0"/>
    <xf numFmtId="0" fontId="4" fillId="0" borderId="1" applyAlignment="1" pivotButton="0" quotePrefix="0" xfId="0">
      <alignment horizontal="left" vertical="center"/>
    </xf>
    <xf numFmtId="0" fontId="4" fillId="0" borderId="0" pivotButton="0" quotePrefix="0" xfId="0"/>
    <xf numFmtId="0" fontId="7" fillId="0" borderId="0" applyAlignment="1" pivotButton="0" quotePrefix="0" xfId="0">
      <alignment horizontal="left" vertical="center"/>
    </xf>
    <xf numFmtId="0" fontId="4" fillId="0" borderId="1" applyAlignment="1" pivotButton="0" quotePrefix="0" xfId="0">
      <alignment horizontal="center" vertical="center"/>
    </xf>
    <xf numFmtId="164" fontId="6" fillId="0" borderId="0" applyAlignment="1" pivotButton="0" quotePrefix="0" xfId="0">
      <alignment horizontal="right" vertical="center"/>
    </xf>
    <xf numFmtId="0" fontId="8" fillId="0" borderId="0" applyAlignment="1" pivotButton="0" quotePrefix="0" xfId="0">
      <alignment horizontal="center" vertical="center"/>
    </xf>
    <xf numFmtId="0" fontId="8" fillId="0" borderId="0" applyAlignment="1" pivotButton="0" quotePrefix="0" xfId="0">
      <alignment horizontal="left" vertical="top" wrapText="1"/>
    </xf>
    <xf numFmtId="165" fontId="6" fillId="0" borderId="0" applyAlignment="1" pivotButton="0" quotePrefix="0" xfId="0">
      <alignment horizontal="right" vertical="center"/>
    </xf>
    <xf numFmtId="166" fontId="5" fillId="0" borderId="0" applyAlignment="1" pivotButton="0" quotePrefix="0" xfId="0">
      <alignment horizontal="right" vertical="center"/>
    </xf>
    <xf numFmtId="0" fontId="9" fillId="0" borderId="0" applyAlignment="1" pivotButton="0" quotePrefix="0" xfId="0">
      <alignment horizontal="left" vertical="top" wrapText="1"/>
    </xf>
    <xf numFmtId="164" fontId="5" fillId="0" borderId="0" applyAlignment="1" pivotButton="0" quotePrefix="0" xfId="0">
      <alignment horizontal="right" vertical="center"/>
    </xf>
    <xf numFmtId="167" fontId="6" fillId="0" borderId="0" applyAlignment="1" pivotButton="0" quotePrefix="0" xfId="0">
      <alignment horizontal="right" vertical="center"/>
    </xf>
    <xf numFmtId="168" fontId="6" fillId="0" borderId="0" applyAlignment="1" pivotButton="0" quotePrefix="0" xfId="0">
      <alignment horizontal="right" vertical="center"/>
    </xf>
    <xf numFmtId="169" fontId="5" fillId="0" borderId="0" applyAlignment="1" pivotButton="0" quotePrefix="0" xfId="0">
      <alignment horizontal="right" vertical="center"/>
    </xf>
    <xf numFmtId="168" fontId="5" fillId="0" borderId="0" applyAlignment="1" pivotButton="0" quotePrefix="0" xfId="0">
      <alignment horizontal="right" vertical="center"/>
    </xf>
    <xf numFmtId="167" fontId="5" fillId="0" borderId="0" applyAlignment="1" pivotButton="0" quotePrefix="0" xfId="0">
      <alignment horizontal="right" vertical="center"/>
    </xf>
    <xf numFmtId="170" fontId="5" fillId="0" borderId="0" applyAlignment="1" pivotButton="0" quotePrefix="0" xfId="0">
      <alignment horizontal="right" vertical="center"/>
    </xf>
    <xf numFmtId="165" fontId="5" fillId="0" borderId="0" applyAlignment="1" pivotButton="0" quotePrefix="0" xfId="0">
      <alignment horizontal="right" vertical="center"/>
    </xf>
    <xf numFmtId="169" fontId="5" fillId="0" borderId="0" pivotButton="0" quotePrefix="0" xfId="0"/>
    <xf numFmtId="171" fontId="5" fillId="0" borderId="0" pivotButton="0" quotePrefix="0" xfId="0"/>
    <xf numFmtId="1" fontId="4" fillId="0" borderId="1" applyAlignment="1" pivotButton="0" quotePrefix="0" xfId="0">
      <alignment horizontal="center" vertical="center"/>
    </xf>
    <xf numFmtId="10" fontId="5" fillId="0" borderId="0" pivotButton="0" quotePrefix="0" xfId="0"/>
    <xf numFmtId="0" fontId="9" fillId="0" borderId="0" pivotButton="0" quotePrefix="0" xfId="0"/>
    <xf numFmtId="10" fontId="6" fillId="0" borderId="0" pivotButton="0" quotePrefix="0" xfId="0"/>
    <xf numFmtId="164" fontId="8" fillId="0" borderId="0" pivotButton="0" quotePrefix="0" xfId="0"/>
    <xf numFmtId="0" fontId="0" fillId="0" borderId="1" pivotButton="0" quotePrefix="0" xfId="0"/>
    <xf numFmtId="164" fontId="5" fillId="0" borderId="0" pivotButton="0" quotePrefix="0" xfId="0"/>
    <xf numFmtId="164" fontId="4" fillId="0" borderId="0" pivotButton="0" quotePrefix="0" xfId="0"/>
    <xf numFmtId="165" fontId="5" fillId="0" borderId="0" pivotButton="0" quotePrefix="0" xfId="0"/>
    <xf numFmtId="168" fontId="5" fillId="0" borderId="0" pivotButton="0" quotePrefix="0" xfId="0"/>
    <xf numFmtId="172" fontId="5" fillId="0" borderId="0" pivotButton="0" quotePrefix="0" xfId="0"/>
    <xf numFmtId="172" fontId="8" fillId="0" borderId="0" pivotButton="0" quotePrefix="0" xfId="0"/>
    <xf numFmtId="0" fontId="8" fillId="0" borderId="0" applyAlignment="1" pivotButton="0" quotePrefix="0" xfId="0">
      <alignment horizontal="left" vertical="center"/>
    </xf>
    <xf numFmtId="166" fontId="5" fillId="0" borderId="0" pivotButton="0" quotePrefix="0" xfId="0"/>
    <xf numFmtId="167" fontId="5" fillId="0" borderId="0" pivotButton="0" quotePrefix="0" xfId="0"/>
    <xf numFmtId="170" fontId="8" fillId="0" borderId="0" pivotButton="0" quotePrefix="0" xfId="0"/>
    <xf numFmtId="165" fontId="8" fillId="0" borderId="0" pivotButton="0" quotePrefix="0" xfId="0"/>
    <xf numFmtId="167" fontId="4" fillId="0" borderId="0" pivotButton="0" quotePrefix="0" xfId="0"/>
    <xf numFmtId="164" fontId="4" fillId="0" borderId="2" pivotButton="0" quotePrefix="0" xfId="0"/>
    <xf numFmtId="165" fontId="4" fillId="0" borderId="0" pivotButton="0" quotePrefix="0" xfId="0"/>
    <xf numFmtId="168" fontId="8" fillId="0" borderId="0" pivotButton="0" quotePrefix="0" xfId="0"/>
    <xf numFmtId="171" fontId="5" fillId="0" borderId="0" applyAlignment="1" pivotButton="0" quotePrefix="0" xfId="0">
      <alignment horizontal="right" vertical="center"/>
    </xf>
    <xf numFmtId="164" fontId="4" fillId="0" borderId="0" applyAlignment="1" pivotButton="0" quotePrefix="0" xfId="0">
      <alignment horizontal="right" vertical="center"/>
    </xf>
    <xf numFmtId="10" fontId="5" fillId="0" borderId="0" applyAlignment="1" pivotButton="0" quotePrefix="0" xfId="0">
      <alignment horizontal="right" vertical="center"/>
    </xf>
    <xf numFmtId="164" fontId="4" fillId="0" borderId="2" applyAlignment="1" pivotButton="0" quotePrefix="0" xfId="0">
      <alignment horizontal="right" vertical="center"/>
    </xf>
    <xf numFmtId="165" fontId="4" fillId="0" borderId="0" applyAlignment="1" pivotButton="0" quotePrefix="0" xfId="0">
      <alignment horizontal="right" vertical="center"/>
    </xf>
    <xf numFmtId="0" fontId="5" fillId="0" borderId="0" applyAlignment="1" pivotButton="0" quotePrefix="0" xfId="0">
      <alignment horizontal="right" vertical="center"/>
    </xf>
    <xf numFmtId="168" fontId="4" fillId="0" borderId="0" applyAlignment="1" pivotButton="0" quotePrefix="0" xfId="0">
      <alignment horizontal="right" vertical="center"/>
    </xf>
    <xf numFmtId="0" fontId="4" fillId="0" borderId="0" applyAlignment="1" pivotButton="0" quotePrefix="0" xfId="0">
      <alignment horizontal="center" vertical="center"/>
    </xf>
    <xf numFmtId="0" fontId="11" fillId="0" borderId="0" pivotButton="0" quotePrefix="0" xfId="0"/>
    <xf numFmtId="0" fontId="1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4"/>
  <sheetViews>
    <sheetView showGridLines="0" workbookViewId="0">
      <selection activeCell="A1" sqref="A1"/>
    </sheetView>
  </sheetViews>
  <sheetFormatPr baseColWidth="8" defaultRowHeight="15"/>
  <cols>
    <col width="34" customWidth="1" min="1" max="1"/>
    <col width="96" customWidth="1" min="2" max="2"/>
    <col width="14" customWidth="1" min="3" max="3"/>
  </cols>
  <sheetData>
    <row r="1" ht="22" customHeight="1">
      <c r="A1" s="1" t="inlineStr">
        <is>
          <t>US Tokenized Equity TAM Model  |  v7.0</t>
        </is>
      </c>
    </row>
    <row r="2" ht="15" customHeight="1">
      <c r="A2" s="3" t="inlineStr">
        <is>
          <t>Rebuilt 27-Aug-2026. Every hard input carries a source ID and a clickable link. Forecast inputs are flagged and listed on the Audit tab.</t>
        </is>
      </c>
    </row>
    <row r="4" ht="16" customHeight="1">
      <c r="A4" s="4" t="inlineStr">
        <is>
          <t>WHAT THIS MODEL DOES</t>
        </is>
      </c>
      <c r="B4" s="5" t="n"/>
      <c r="C4" s="5" t="n"/>
    </row>
    <row r="5" ht="30" customHeight="1">
      <c r="A5" s="6" t="inlineStr">
        <is>
          <t>Question</t>
        </is>
      </c>
      <c r="B5" s="7" t="inlineStr">
        <is>
          <t>How large is the addressable market for tokenized US listed equities, and what annual revenue pool does it support, 2026-2035?</t>
        </is>
      </c>
    </row>
    <row r="6" ht="30" customHeight="1">
      <c r="A6" s="6" t="inlineStr">
        <is>
          <t>Method</t>
        </is>
      </c>
      <c r="B6" s="7" t="inlineStr">
        <is>
          <t>Segment the US listed market on the Russell index boundary, project penetration with a logistic adoption curve anchored to the observed on-chain base, then apply revenue rates computed from disclosed company and industry figures.</t>
        </is>
      </c>
    </row>
    <row r="7" ht="30" customHeight="1">
      <c r="A7" s="6" t="inlineStr">
        <is>
          <t>Unit convention</t>
        </is>
      </c>
      <c r="B7" s="7" t="inlineStr">
        <is>
          <t>$Bn for market cap and volume. $M for revenue. bps for take rates. Years are calendar.</t>
        </is>
      </c>
    </row>
    <row r="9" ht="16" customHeight="1">
      <c r="A9" s="4" t="inlineStr">
        <is>
          <t>CELL COLOUR CONVENTION</t>
        </is>
      </c>
      <c r="B9" s="5" t="n"/>
      <c r="C9" s="5" t="n"/>
    </row>
    <row r="10">
      <c r="A10" s="8" t="inlineStr">
        <is>
          <t>Blue text</t>
        </is>
      </c>
      <c r="B10" s="9" t="inlineStr">
        <is>
          <t>Hard input. This is the only kind of cell you should type into.</t>
        </is>
      </c>
    </row>
    <row r="11">
      <c r="A11" s="9" t="inlineStr">
        <is>
          <t>Black text</t>
        </is>
      </c>
      <c r="B11" s="9" t="inlineStr">
        <is>
          <t>Formula. Do not overwrite.</t>
        </is>
      </c>
    </row>
    <row r="12">
      <c r="A12" s="10" t="inlineStr">
        <is>
          <t>Blue underlined</t>
        </is>
      </c>
      <c r="B12" s="9" t="inlineStr">
        <is>
          <t>Clickable source link.</t>
        </is>
      </c>
    </row>
    <row r="14" ht="16" customHeight="1">
      <c r="A14" s="4" t="inlineStr">
        <is>
          <t>INPUT STATUS FLAGS</t>
        </is>
      </c>
      <c r="B14" s="5" t="n"/>
      <c r="C14" s="5" t="n"/>
    </row>
    <row r="15" ht="28" customHeight="1">
      <c r="A15" s="11" t="inlineStr">
        <is>
          <t>VERIFIED</t>
        </is>
      </c>
      <c r="B15" s="7" t="inlineStr">
        <is>
          <t>The figure appears verbatim in the linked primary document. Nothing has been adjusted.</t>
        </is>
      </c>
    </row>
    <row r="16" ht="28" customHeight="1">
      <c r="A16" s="11" t="inlineStr">
        <is>
          <t>DERIVED</t>
        </is>
      </c>
      <c r="B16" s="7" t="inlineStr">
        <is>
          <t>Arithmetic on VERIFIED figures only (e.g. a fee rate computed as disclosed revenue divided by disclosed balance). No judgement applied.</t>
        </is>
      </c>
    </row>
    <row r="17" ht="28" customHeight="1">
      <c r="A17" s="11" t="inlineStr">
        <is>
          <t>FORECAST</t>
        </is>
      </c>
      <c r="B17" s="7" t="inlineStr">
        <is>
          <t>A forward-looking judgement. Cannot be sourced because the event has not happened. Every one is listed on the Audit tab with its rationale and the sourced reference points that bracket it.</t>
        </is>
      </c>
    </row>
    <row r="19" ht="16" customHeight="1">
      <c r="A19" s="4" t="inlineStr">
        <is>
          <t>WHAT CHANGED FROM v6.1 - CORRECTIONS</t>
        </is>
      </c>
      <c r="B19" s="5" t="n"/>
      <c r="C19" s="5" t="n"/>
    </row>
    <row r="20">
      <c r="A20" s="12" t="inlineStr">
        <is>
          <t>#</t>
        </is>
      </c>
      <c r="B20" s="12" t="inlineStr">
        <is>
          <t>Correction</t>
        </is>
      </c>
      <c r="C20" s="12" t="inlineStr">
        <is>
          <t>Status</t>
        </is>
      </c>
    </row>
    <row r="21" ht="42" customHeight="1">
      <c r="A21" s="9" t="n">
        <v>1</v>
      </c>
      <c r="B21" s="7" t="inlineStr">
        <is>
          <t>Settlement fee was wrong by ~20-45x. v6.1 modelled $0.10 per trade and cited the NSCC fee filing as support. The filing sets $0.44 per MILLION DOLLARS of value into net, i.e. ~$0.004 on a $10,000 trade. Rebuilt on a value basis at the actual published rate.</t>
        </is>
      </c>
      <c r="C21" s="13" t="inlineStr">
        <is>
          <t>Fixed</t>
        </is>
      </c>
    </row>
    <row r="22" ht="42" customHeight="1">
      <c r="A22" s="9" t="n">
        <v>2</v>
      </c>
      <c r="B22" s="7" t="inlineStr">
        <is>
          <t>Turnover assumption contradicted the model's own inputs. v6.1 asserted US equity turnover of ~2.5x market cap while separately carrying $1.1T ADV, which implies ~4.0x. Turnover is now a formula from ADV, trading days and market cap.</t>
        </is>
      </c>
      <c r="C22" s="13" t="inlineStr">
        <is>
          <t>Fixed</t>
        </is>
      </c>
    </row>
    <row r="23" ht="42" customHeight="1">
      <c r="A23" s="9" t="n">
        <v>3</v>
      </c>
      <c r="B23" s="7" t="inlineStr">
        <is>
          <t>ETF analogue used the wrong numerator. v6.1 divided TOTAL ETF net assets (which include bond, commodity and international ETFs) by US equity market cap. Now uses ICI's domestic equity ETF line: 13.2% of US market cap, not the 20.9% the old basis produced.</t>
        </is>
      </c>
      <c r="C23" s="13" t="inlineStr">
        <is>
          <t>Fixed</t>
        </is>
      </c>
    </row>
    <row r="24" ht="42" customHeight="1">
      <c r="A24" s="9" t="n">
        <v>4</v>
      </c>
      <c r="B24" s="7" t="inlineStr">
        <is>
          <t>Adoption sequencing was backwards. v6.1 assumed low-ADV small caps tokenize first. The SEC's no-action letter scopes DTCC's service to the Russell 1000, and every one of the ten largest tokenized stocks is a mega cap or index ETF. Segments re-ordered: large caps lead.</t>
        </is>
      </c>
      <c r="C24" s="13" t="inlineStr">
        <is>
          <t>Fixed</t>
        </is>
      </c>
    </row>
    <row r="25" ht="42" customHeight="1">
      <c r="A25" s="9" t="n">
        <v>5</v>
      </c>
      <c r="B25" s="7" t="inlineStr">
        <is>
          <t>Segmentation had no public source. v6.1 split the market into ADV buckets described as a Bernstein estimate off a Bloomberg screen. Replaced with the Russell 1000 / 2000 / non-index boundary, which is published, reconstituted annually, and is the actual regulatory perimeter.</t>
        </is>
      </c>
      <c r="C25" s="13" t="inlineStr">
        <is>
          <t>Fixed</t>
        </is>
      </c>
    </row>
    <row r="26" ht="42" customHeight="1">
      <c r="A26" s="9" t="n">
        <v>6</v>
      </c>
      <c r="B26" s="7" t="inlineStr">
        <is>
          <t>Two different US market cap figures coexisted. v6.1 carried $66.0T on Assumptions and $64.5T and $58.0T on the analogues tab for overlapping periods. Single sourced figure now used throughout.</t>
        </is>
      </c>
      <c r="C26" s="13" t="inlineStr">
        <is>
          <t>Fixed</t>
        </is>
      </c>
    </row>
    <row r="27" ht="42" customHeight="1">
      <c r="A27" s="9" t="n">
        <v>7</v>
      </c>
      <c r="B27" s="7" t="inlineStr">
        <is>
          <t>Stale market data. v6.1 used SIFMA 1Q26 ($66.0T, 5,492 companies). Updated to 2Q26 ($76.9T, 5,532 companies).</t>
        </is>
      </c>
      <c r="C27" s="13" t="inlineStr">
        <is>
          <t>Updated</t>
        </is>
      </c>
    </row>
    <row r="28" ht="42" customHeight="1">
      <c r="A28" s="9" t="n">
        <v>8</v>
      </c>
      <c r="B28" s="7" t="inlineStr">
        <is>
          <t>Narrative contradicted the arithmetic. v6.1 stated ETFs were at ~18% penetration in year 32; its own cells computed 20.9%. All narrative figures now read from cells.</t>
        </is>
      </c>
      <c r="C28" s="13" t="inlineStr">
        <is>
          <t>Fixed</t>
        </is>
      </c>
    </row>
    <row r="29" ht="42" customHeight="1">
      <c r="A29" s="9" t="n">
        <v>9</v>
      </c>
      <c r="B29" s="7" t="inlineStr">
        <is>
          <t>One SEC URL was cited for two different documents. The same PDF was footnoted as both the DTCC no-action letter and NSCC rule filing SR-NSCC-2025-017. Separated and each replaced with its own primary link.</t>
        </is>
      </c>
      <c r="C29" s="13" t="inlineStr">
        <is>
          <t>Fixed</t>
        </is>
      </c>
    </row>
    <row r="30" ht="42" customHeight="1">
      <c r="A30" s="9" t="n">
        <v>10</v>
      </c>
      <c r="B30" s="7" t="inlineStr">
        <is>
          <t>Broken and generic links. The CLARITY Act link had no bill number; NYSE, Figure, Robinhood and S&amp;P Global were cited by homepage. All links now resolve to the specific document supporting the specific figure.</t>
        </is>
      </c>
      <c r="C30" s="13" t="inlineStr">
        <is>
          <t>Fixed</t>
        </is>
      </c>
    </row>
    <row r="31" ht="42" customHeight="1">
      <c r="A31" s="9" t="n">
        <v>11</v>
      </c>
      <c r="B31" s="7" t="inlineStr">
        <is>
          <t>A Wikipedia page was cited as the authority for DTCC's tokenization mandate. Replaced with DTCC's own release and the SEC no-action letter coverage.</t>
        </is>
      </c>
      <c r="C31" s="13" t="inlineStr">
        <is>
          <t>Fixed</t>
        </is>
      </c>
    </row>
    <row r="32" ht="42" customHeight="1">
      <c r="A32" s="9" t="n">
        <v>12</v>
      </c>
      <c r="B32" s="7" t="inlineStr">
        <is>
          <t>Take rates had no anchor. The 8bps starting rate was unsourced. Now interpolated between two disclosed rates: Robinhood's retail equity capture (1.3bps) and Coinbase's institutional spot capture (8.6bps).</t>
        </is>
      </c>
      <c r="C32" s="13" t="inlineStr">
        <is>
          <t>Fixed</t>
        </is>
      </c>
    </row>
    <row r="33" ht="42" customHeight="1">
      <c r="A33" s="9" t="n">
        <v>13</v>
      </c>
      <c r="B33" s="7" t="inlineStr">
        <is>
          <t>Custody fee cited a Coinbase disclosure that no longer exists. Coinbase folded custodial fee revenue into Other subscription revenue from Q1'25, so custody revenue over AUC is not derivable. Anchored on BNY's disclosed 1.7bps instead, with a premium multiple as the visible driver.</t>
        </is>
      </c>
      <c r="C33" s="13" t="inlineStr">
        <is>
          <t>Fixed</t>
        </is>
      </c>
    </row>
    <row r="34" ht="42" customHeight="1">
      <c r="A34" s="9" t="n">
        <v>14</v>
      </c>
      <c r="B34" s="7" t="inlineStr">
        <is>
          <t>Issuance and transfer agent fees were invented per-issuer amounts ($500K and $150K, sourced to 'no public pricing page'). Replaced with a yield on tokenized AUM bracketed by two disclosed rates: DTCC's 0.066bps utility servicing yield on listed securities and Securitize's 134bps full-service fund tokenization yield.</t>
        </is>
      </c>
      <c r="C34" s="13" t="inlineStr">
        <is>
          <t>Fixed</t>
        </is>
      </c>
    </row>
    <row r="35" ht="42" customHeight="1">
      <c r="A35" s="9" t="n">
        <v>15</v>
      </c>
      <c r="B35" s="7" t="inlineStr">
        <is>
          <t>Securities lending double-counted a platform share. A TAM sizes the whole pool, so the 20-35% agent-lender split (which had no public link) has been removed and the gross pool is now shown.</t>
        </is>
      </c>
      <c r="C35" s="13" t="inlineStr">
        <is>
          <t>Fixed</t>
        </is>
      </c>
    </row>
    <row r="36" ht="42" customHeight="1">
      <c r="A36" s="9" t="n">
        <v>16</v>
      </c>
      <c r="B36" s="7" t="inlineStr">
        <is>
          <t>The 36-year ADR series was fabricated. v6.1's own notes described pre-2000 values as estimates; the 2025 rows were also wrong against BNY's published review ($1.4T modelled vs $6.6T actual traded). Series replaced with BNY's sourced anchor points.</t>
        </is>
      </c>
      <c r="C36" s="13" t="inlineStr">
        <is>
          <t>Fixed</t>
        </is>
      </c>
    </row>
    <row r="37" ht="42" customHeight="1">
      <c r="A37" s="9" t="n">
        <v>17</v>
      </c>
      <c r="B37" s="7" t="inlineStr">
        <is>
          <t>Issuer counts multiplied a market-cap penetration rate by a company count, which treats every tokenized name as fully converted and produced 59 issuers holding $5.5T. Tokenization takes a slice of a name's float, not the whole company. Replaced with an exact coverage identity.</t>
        </is>
      </c>
      <c r="C37" s="13" t="inlineStr">
        <is>
          <t>Fixed</t>
        </is>
      </c>
    </row>
    <row r="38" ht="42" customHeight="1">
      <c r="A38" s="9" t="n">
        <v>18</v>
      </c>
      <c r="B38" s="7" t="inlineStr">
        <is>
          <t>Scenarios stopped at market cap, and varied only the ceiling. Bear/base/bull now vary ceiling and curve steepness together and flow all the way through to the revenue pool.</t>
        </is>
      </c>
      <c r="C38" s="13" t="inlineStr">
        <is>
          <t>Added</t>
        </is>
      </c>
    </row>
    <row r="40" ht="16" customHeight="1">
      <c r="A40" s="4" t="inlineStr">
        <is>
          <t>HOW TO DRIVE IT</t>
        </is>
      </c>
      <c r="B40" s="5" t="n"/>
      <c r="C40" s="5" t="n"/>
    </row>
    <row r="41" ht="16" customHeight="1">
      <c r="B41" s="7" t="inlineStr">
        <is>
          <t>- Change the terminal penetration ceilings and the curve steepness on Inputs rows 34-39. Everything downstream reflows.</t>
        </is>
      </c>
    </row>
    <row r="42" ht="16" customHeight="1">
      <c r="B42" s="7" t="inlineStr">
        <is>
          <t>- To impose your own year-by-year penetration path, type it into the override rows on the Penetration tab. Any cell you fill overrides the curve; any cell you leave blank keeps it.</t>
        </is>
      </c>
    </row>
    <row r="43" ht="16" customHeight="1">
      <c r="B43" s="7" t="inlineStr">
        <is>
          <t>- Scenario ceilings sit on the Scenarios tab and are deliberately set to the sourced analogues: the bear case is the ADR outcome, the bull case is the domestic equity ETF outcome.</t>
        </is>
      </c>
    </row>
    <row r="44" ht="16" customHeight="1">
      <c r="B44" s="7" t="inlineStr">
        <is>
          <t>- The Audit tab lists every forecast cell and every internal consistency check. Read it before circulating.</t>
        </is>
      </c>
    </row>
  </sheetData>
  <mergeCells count="2">
    <mergeCell ref="A1:C1"/>
    <mergeCell ref="A2:C2"/>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40"/>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96" customWidth="1" min="3" max="3"/>
    <col width="14" customWidth="1" min="4" max="4"/>
    <col width="12" customWidth="1" min="5" max="5"/>
  </cols>
  <sheetData>
    <row r="1" ht="22" customHeight="1">
      <c r="A1" s="1" t="inlineStr">
        <is>
          <t>Source Register</t>
        </is>
      </c>
    </row>
    <row r="2" ht="15" customHeight="1">
      <c r="A2" s="3" t="inlineStr">
        <is>
          <t>Every hard input in this workbook points at one of these IDs. Links go to the exact document supporting the exact figure.</t>
        </is>
      </c>
    </row>
    <row r="4">
      <c r="A4" s="14" t="inlineStr">
        <is>
          <t>ID</t>
        </is>
      </c>
      <c r="B4" s="14" t="inlineStr">
        <is>
          <t>Publisher</t>
        </is>
      </c>
      <c r="C4" s="14" t="inlineStr">
        <is>
          <t>Document and the exact figure it supports</t>
        </is>
      </c>
      <c r="D4" s="14" t="inlineStr">
        <is>
          <t>As of</t>
        </is>
      </c>
      <c r="E4" s="14" t="inlineStr">
        <is>
          <t>Link</t>
        </is>
      </c>
    </row>
    <row r="5" ht="30" customHeight="1">
      <c r="A5" s="15" t="inlineStr">
        <is>
          <t>S01</t>
        </is>
      </c>
      <c r="B5" s="9" t="inlineStr">
        <is>
          <t>SIFMA</t>
        </is>
      </c>
      <c r="C5" s="7" t="inlineStr">
        <is>
          <t>Research Quarterly: Equity &amp; Related, 2Q26 - "Market cap of all US listed companies totaled $76.9T in 2Q26"; "number of listed companies stood at 5,532"</t>
        </is>
      </c>
      <c r="D5" s="13" t="inlineStr">
        <is>
          <t>30-Jun-2026</t>
        </is>
      </c>
      <c r="E5" s="16">
        <f>HYPERLINK("https://www.sifma.org/wp-content/uploads/2026/04/SIFMA-Research-Quarterly-Equity-and-Related-2Q26.pdf","open")</f>
        <v/>
      </c>
    </row>
    <row r="6" ht="30" customHeight="1">
      <c r="A6" s="15" t="inlineStr">
        <is>
          <t>S02</t>
        </is>
      </c>
      <c r="B6" s="9" t="inlineStr">
        <is>
          <t>SIFMA</t>
        </is>
      </c>
      <c r="C6" s="7" t="inlineStr">
        <is>
          <t>Research Quarterly: Equity &amp; Related (landing page, all quarters incl. 1Q26 $66.0T, -4.3% Q/Q)</t>
        </is>
      </c>
      <c r="D6" s="13" t="inlineStr">
        <is>
          <t>2026</t>
        </is>
      </c>
      <c r="E6" s="16">
        <f>HYPERLINK("https://www.sifma.org/research/statistics/research-quarterly-equity-and-related","open")</f>
        <v/>
      </c>
    </row>
    <row r="7" ht="30" customHeight="1">
      <c r="A7" s="15" t="inlineStr">
        <is>
          <t>S03</t>
        </is>
      </c>
      <c r="B7" s="9" t="inlineStr">
        <is>
          <t>Cboe Global Markets</t>
        </is>
      </c>
      <c r="C7" s="7" t="inlineStr">
        <is>
          <t>2025 US Equities Year in Review - "average daily notional value (ADNV) increasing 43.3% year-over-year to $1.1 trillion"; ADV 17.6bn shares</t>
        </is>
      </c>
      <c r="D7" s="13" t="inlineStr">
        <is>
          <t>FY2025</t>
        </is>
      </c>
      <c r="E7" s="16">
        <f>HYPERLINK("https://www.cboe.com/insights/posts/2025-u-s-equities-year-in-review","open")</f>
        <v/>
      </c>
    </row>
    <row r="8" ht="30" customHeight="1">
      <c r="A8" s="15" t="inlineStr">
        <is>
          <t>S04</t>
        </is>
      </c>
      <c r="B8" s="9" t="inlineStr">
        <is>
          <t>LSEG / FTSE Russell</t>
        </is>
      </c>
      <c r="C8" s="7" t="inlineStr">
        <is>
          <t>Russell Reconstitution June 2026 - Russell 3000 total mkt cap $75.6T (rank day 30-Apr-26); Russell 2000 $3.5T; R1000/R2000 breakpoint $5.7bn</t>
        </is>
      </c>
      <c r="D8" s="13" t="inlineStr">
        <is>
          <t>30-Apr-2026</t>
        </is>
      </c>
      <c r="E8" s="16">
        <f>HYPERLINK("https://www.lseg.com/en/insights/ftse-russell/russell-reconstitution-june-2026-larger-leaders-stronger-small-caps","open")</f>
        <v/>
      </c>
    </row>
    <row r="9" ht="30" customHeight="1">
      <c r="A9" s="15" t="inlineStr">
        <is>
          <t>S05</t>
        </is>
      </c>
      <c r="B9" s="9" t="inlineStr">
        <is>
          <t>DTCC</t>
        </is>
      </c>
      <c r="C9" s="7" t="inlineStr">
        <is>
          <t>"Paving the Way to Tokenized DTC-Custodied Assets" - SEC no-action letter dated 11-Dec-2025 covering the Russell 1000, index ETFs and US Treasuries; rollout 2H26; 3-year term</t>
        </is>
      </c>
      <c r="D9" s="13" t="inlineStr">
        <is>
          <t>11-Dec-2025</t>
        </is>
      </c>
      <c r="E9" s="16">
        <f>HYPERLINK("https://www.dtcc.com/news/2025/december/11/paving-the-way-to-tokenized-dtc-custodied-assets","open")</f>
        <v/>
      </c>
    </row>
    <row r="10" ht="30" customHeight="1">
      <c r="A10" s="15" t="inlineStr">
        <is>
          <t>S06</t>
        </is>
      </c>
      <c r="B10" s="9" t="inlineStr">
        <is>
          <t>DTCC</t>
        </is>
      </c>
      <c r="C10" s="7" t="inlineStr">
        <is>
          <t>"DTCC Turns Tokenization into Reality" - live production trades processed 15-Jul-2026 with over 30 firms; the Industry Working Group "has grown in recent months to more than 100 members and partners"; "sets the stage for the DTCC Tokenization Service to launch in October 2026"</t>
        </is>
      </c>
      <c r="D10" s="13" t="inlineStr">
        <is>
          <t>15-Jul-2026</t>
        </is>
      </c>
      <c r="E10" s="16">
        <f>HYPERLINK("https://www.dtcc.com/press-releases/2026/dtcc-turns-tokenization-into-reality","open")</f>
        <v/>
      </c>
    </row>
    <row r="11" ht="30" customHeight="1">
      <c r="A11" s="15" t="inlineStr">
        <is>
          <t>S07</t>
        </is>
      </c>
      <c r="B11" s="9" t="inlineStr">
        <is>
          <t>Crypto Times (data: Token Terminal)</t>
        </is>
      </c>
      <c r="C11" s="7" t="inlineStr">
        <is>
          <t>Tokenized RWA market $44.7bn; tokenized stocks $2.8bn (6.3% of RWA)</t>
        </is>
      </c>
      <c r="D11" s="13" t="inlineStr">
        <is>
          <t>26-Aug-2026</t>
        </is>
      </c>
      <c r="E11" s="16">
        <f>HYPERLINK("https://www.cryptotimes.io/2026/08/27/tokenized-rwa-market-hits-44-7b-as-funds-hold-76-4-share/","open")</f>
        <v/>
      </c>
    </row>
    <row r="12" ht="30" customHeight="1">
      <c r="A12" s="15" t="inlineStr">
        <is>
          <t>S08</t>
        </is>
      </c>
      <c r="B12" s="9" t="inlineStr">
        <is>
          <t>Crypto Briefing (data: rwa.xyz)</t>
        </is>
      </c>
      <c r="C12" s="7" t="inlineStr">
        <is>
          <t>Tokenized stocks ~$2.5bn distributed value; total RWA $38.29bn; ~1.18m token holders</t>
        </is>
      </c>
      <c r="D12" s="13" t="inlineStr">
        <is>
          <t>13-Aug-2026</t>
        </is>
      </c>
      <c r="E12" s="16">
        <f>HYPERLINK("https://cryptobriefing.com/tokenized-stocks-rwa-market-cap-share/","open")</f>
        <v/>
      </c>
    </row>
    <row r="13" ht="30" customHeight="1">
      <c r="A13" s="15" t="inlineStr">
        <is>
          <t>S09</t>
        </is>
      </c>
      <c r="B13" s="9" t="inlineStr">
        <is>
          <t>Webopedia</t>
        </is>
      </c>
      <c r="C13" s="7" t="inlineStr">
        <is>
          <t>Largest tokenized stocks by market cap - TSLAx, GOOGLx, NVDAx, CRCLx, QQQx, SPYx, MSTRx, AAPLx, COINx, GLDx (all Russell 1000 constituents or index ETFs)</t>
        </is>
      </c>
      <c r="D13" s="13" t="inlineStr">
        <is>
          <t>Jan-2026</t>
        </is>
      </c>
      <c r="E13" s="16">
        <f>HYPERLINK("https://www.webopedia.com/crypto/learn/biggest-tokenized-stocks/","open")</f>
        <v/>
      </c>
    </row>
    <row r="14" ht="30" customHeight="1">
      <c r="A14" s="15" t="inlineStr">
        <is>
          <t>S10</t>
        </is>
      </c>
      <c r="B14" s="9" t="inlineStr">
        <is>
          <t>ICI</t>
        </is>
      </c>
      <c r="C14" s="7" t="inlineStr">
        <is>
          <t>Exchange-Traded Fund Data, July 2026 - "The combined assets of the nation's exchange-traded funds (ETFs) were $15.67 trillion in July"; Total Domestic Equity $10,090.4bn; 5,182 ETFs</t>
        </is>
      </c>
      <c r="D14" s="13" t="inlineStr">
        <is>
          <t>31-Jul-2026</t>
        </is>
      </c>
      <c r="E14" s="16">
        <f>HYPERLINK("https://www.ici.org/research/stats/etf/etfs_04_26","open")</f>
        <v/>
      </c>
    </row>
    <row r="15" ht="30" customHeight="1">
      <c r="A15" s="15" t="inlineStr">
        <is>
          <t>S11</t>
        </is>
      </c>
      <c r="B15" s="9" t="inlineStr">
        <is>
          <t>ICI</t>
        </is>
      </c>
      <c r="C15" s="7" t="inlineStr">
        <is>
          <t>2026 Investment Company Fact Book, Ch.2 Fig 2.1 - ETF total net assets $13,373bn and 4,813 ETFs at YE2025; Fig 2.6 index domestic equity funds+ETFs = 19% of US stock market cap</t>
        </is>
      </c>
      <c r="D15" s="13" t="inlineStr">
        <is>
          <t>31-Dec-2025</t>
        </is>
      </c>
      <c r="E15" s="16">
        <f>HYPERLINK("https://icifactbook.org/pdf/2026-factbook-ch2.pdf","open")</f>
        <v/>
      </c>
    </row>
    <row r="16" ht="30" customHeight="1">
      <c r="A16" s="15" t="inlineStr">
        <is>
          <t>S12</t>
        </is>
      </c>
      <c r="B16" s="9" t="inlineStr">
        <is>
          <t>ICI</t>
        </is>
      </c>
      <c r="C16" s="7" t="inlineStr">
        <is>
          <t>2024 Investment Company Fact Book, Ch.4 Fig 4.1 - historical ETF total net assets (2000 $66bn, 2005 $301bn, 2010 $992bn)</t>
        </is>
      </c>
      <c r="D16" s="13" t="inlineStr">
        <is>
          <t>YE2023</t>
        </is>
      </c>
      <c r="E16" s="16">
        <f>HYPERLINK("https://icifactbook.org/pdf/2024-factbook-ch4.pdf","open")</f>
        <v/>
      </c>
    </row>
    <row r="17" ht="30" customHeight="1">
      <c r="A17" s="15" t="inlineStr">
        <is>
          <t>S13</t>
        </is>
      </c>
      <c r="B17" s="9" t="inlineStr">
        <is>
          <t>BNY</t>
        </is>
      </c>
      <c r="C17" s="7" t="inlineStr">
        <is>
          <t>Depositary Receipts Market Review 2025 - "$6.6T in DR value traded"; global DR investment $1.2T at YE25; 2,885 DR programs</t>
        </is>
      </c>
      <c r="D17" s="13" t="inlineStr">
        <is>
          <t>FY2025</t>
        </is>
      </c>
      <c r="E17" s="16">
        <f>HYPERLINK("https://www.bny.com/assets/corporate/documents/pdf/year-In-review-v8.pdf","open")</f>
        <v/>
      </c>
    </row>
    <row r="18" ht="30" customHeight="1">
      <c r="A18" s="15" t="inlineStr">
        <is>
          <t>S14</t>
        </is>
      </c>
      <c r="B18" s="9" t="inlineStr">
        <is>
          <t>S&amp;P Global Market Intelligence (via Securities Finance Times)</t>
        </is>
      </c>
      <c r="C18" s="7" t="inlineStr">
        <is>
          <t>FY2025 securities lending - revenue $14.9bn (equities $11.5bn); average lendable $46.7T; average on-loan $3.25T</t>
        </is>
      </c>
      <c r="D18" s="13" t="inlineStr">
        <is>
          <t>FY2025</t>
        </is>
      </c>
      <c r="E18" s="16">
        <f>HYPERLINK("https://www.securitiesfinancetimes.com/securitieslendingnews/industryarticle.php?article_id=228388","open")</f>
        <v/>
      </c>
    </row>
    <row r="19" ht="30" customHeight="1">
      <c r="A19" s="15" t="inlineStr">
        <is>
          <t>S15</t>
        </is>
      </c>
      <c r="B19" s="9" t="inlineStr">
        <is>
          <t>EquiLend (via Hedgeweek)</t>
        </is>
      </c>
      <c r="C19" s="7" t="inlineStr">
        <is>
          <t>FY2025 global securities lending revenue $15.3bn, +26% Y/Y; loan balances topped $4T</t>
        </is>
      </c>
      <c r="D19" s="13" t="inlineStr">
        <is>
          <t>FY2025</t>
        </is>
      </c>
      <c r="E19" s="16">
        <f>HYPERLINK("https://www.hedgeweek.com/global-securities-lending-revenue-hits-record-15-3bn-in-2025/","open")</f>
        <v/>
      </c>
    </row>
    <row r="20" ht="30" customHeight="1">
      <c r="A20" s="15" t="inlineStr">
        <is>
          <t>S16</t>
        </is>
      </c>
      <c r="B20" s="9" t="inlineStr">
        <is>
          <t>Coinbase (SEC 8-K exhibit)</t>
        </is>
      </c>
      <c r="C20" s="7" t="inlineStr">
        <is>
          <t>Q4'25 Shareholder Letter - FY25 transaction revenue $4,055.4m on $5.2T total trading volume; Q4'25 consumer spot volume $56bn / revenue $734m; institutional spot $215bn / revenue $185m</t>
        </is>
      </c>
      <c r="D20" s="13" t="inlineStr">
        <is>
          <t>31-Dec-2025</t>
        </is>
      </c>
      <c r="E20" s="16">
        <f>HYPERLINK("https://www.sec.gov/Archives/edgar/data/1679788/000167978826000011/q425shareholderletter.htm","open")</f>
        <v/>
      </c>
    </row>
    <row r="21" ht="30" customHeight="1">
      <c r="A21" s="15" t="inlineStr">
        <is>
          <t>S17</t>
        </is>
      </c>
      <c r="B21" s="9" t="inlineStr">
        <is>
          <t>Robinhood Markets</t>
        </is>
      </c>
      <c r="C21" s="7" t="inlineStr">
        <is>
          <t>Q4 and FY2025 Results - Q4'25 equities transaction revenue $94m on equity notional trading volume $710bn</t>
        </is>
      </c>
      <c r="D21" s="13" t="inlineStr">
        <is>
          <t>31-Dec-2025</t>
        </is>
      </c>
      <c r="E21" s="16">
        <f>HYPERLINK("https://investors.robinhood.com/node/15161/pdf","open")</f>
        <v/>
      </c>
    </row>
    <row r="22" ht="30" customHeight="1">
      <c r="A22" s="15" t="inlineStr">
        <is>
          <t>S18</t>
        </is>
      </c>
      <c r="B22" s="9" t="inlineStr">
        <is>
          <t>Cboe Global Markets</t>
        </is>
      </c>
      <c r="C22" s="7" t="inlineStr">
        <is>
          <t>Q4 and FY2025 Results - US equities net capture $0.018 per 100 touched shares (on-exchange); $0.064 (off-exchange)</t>
        </is>
      </c>
      <c r="D22" s="13" t="inlineStr">
        <is>
          <t>31-Dec-2025</t>
        </is>
      </c>
      <c r="E22" s="16">
        <f>HYPERLINK("https://ir.cboe.com/news/news-details/2026/Cboe-Global-Markets-Reports-Results-for-Fourth-Quarter-2025-and-Full-Year/default.aspx","open")</f>
        <v/>
      </c>
    </row>
    <row r="23" ht="30" customHeight="1">
      <c r="A23" s="15" t="inlineStr">
        <is>
          <t>S19</t>
        </is>
      </c>
      <c r="B23" s="9" t="inlineStr">
        <is>
          <t>BNY</t>
        </is>
      </c>
      <c r="C23" s="7" t="inlineStr">
        <is>
          <t>Q4 2025 Earnings Release - AUC/A $59.3T at 31-Dec-25; FY25 investment services fees $10,211m</t>
        </is>
      </c>
      <c r="D23" s="13" t="inlineStr">
        <is>
          <t>31-Dec-2025</t>
        </is>
      </c>
      <c r="E23" s="16">
        <f>HYPERLINK("https://www.bny.com/assets/corporate/documents/pdf/investor-relations/earnings/earnings-press-release-4q-2025.pdf","open")</f>
        <v/>
      </c>
    </row>
    <row r="24" ht="30" customHeight="1">
      <c r="A24" s="15" t="inlineStr">
        <is>
          <t>S20</t>
        </is>
      </c>
      <c r="B24" s="9" t="inlineStr">
        <is>
          <t>Intercontinental Exchange</t>
        </is>
      </c>
      <c r="C24" s="7" t="inlineStr">
        <is>
          <t>FY2025 Results - Exchanges segment: transaction revenue net $3,885m; data and connectivity services $1,031m</t>
        </is>
      </c>
      <c r="D24" s="13" t="inlineStr">
        <is>
          <t>FY2025</t>
        </is>
      </c>
      <c r="E24" s="16">
        <f>HYPERLINK("https://ir.theice.com/press/news-details/2026/Intercontinental-Exchange-Reports-Strong-Full-Year-2025-Results/default.aspx","open")</f>
        <v/>
      </c>
    </row>
    <row r="25" ht="30" customHeight="1">
      <c r="A25" s="15" t="inlineStr">
        <is>
          <t>S21</t>
        </is>
      </c>
      <c r="B25" s="9" t="inlineStr">
        <is>
          <t>Nasdaq</t>
        </is>
      </c>
      <c r="C25" s="7" t="inlineStr">
        <is>
          <t>Q4 and FY2025 Results - Market Services net revenue $1,201m; Data and Listing Services $804m; Index $827m</t>
        </is>
      </c>
      <c r="D25" s="13" t="inlineStr">
        <is>
          <t>FY2025</t>
        </is>
      </c>
      <c r="E25" s="16">
        <f>HYPERLINK("https://ir.nasdaq.com/node/109901/pdf","open")</f>
        <v/>
      </c>
    </row>
    <row r="26" ht="30" customHeight="1">
      <c r="A26" s="15" t="inlineStr">
        <is>
          <t>S22</t>
        </is>
      </c>
      <c r="B26" s="9" t="inlineStr">
        <is>
          <t>DTCC</t>
        </is>
      </c>
      <c r="C26" s="7" t="inlineStr">
        <is>
          <t>Guide to the NSCC Fee Schedule - Clearance Activity, Value Into Net, Fee ID 2482. NOTE: the copy retrieved 10-Sep-2026 still displays 0.46; S23 is the authority for the 0.44 rate effective 01-Jan-2026</t>
        </is>
      </c>
      <c r="D26" s="13" t="inlineStr">
        <is>
          <t>Jan-2026</t>
        </is>
      </c>
      <c r="E26" s="16">
        <f>HYPERLINK("https://www.dtcc.com/-/media/Files/Downloads/legal/fee-guides/nsccfeeguide.pdf","open")</f>
        <v/>
      </c>
    </row>
    <row r="27" ht="30" customHeight="1">
      <c r="A27" s="15" t="inlineStr">
        <is>
          <t>S23</t>
        </is>
      </c>
      <c r="B27" s="9" t="inlineStr">
        <is>
          <t>SEC</t>
        </is>
      </c>
      <c r="C27" s="7" t="inlineStr">
        <is>
          <t>SR-NSCC-2025-017 - "decrease its 'value into the net' fee from $0.46 to $0.44 per million of processed value"; "The proposed changes ... would be implemented on January 1, 2026"</t>
        </is>
      </c>
      <c r="D27" s="13" t="inlineStr">
        <is>
          <t>17-Dec-2025</t>
        </is>
      </c>
      <c r="E27" s="16">
        <f>HYPERLINK("https://www.federalregister.gov/documents/2025/12/17/2025-23068/self-regulatory-organizations-national-securities-clearing-corporation-notice-of-filing-and","open")</f>
        <v/>
      </c>
    </row>
    <row r="28" ht="30" customHeight="1">
      <c r="A28" s="15" t="inlineStr">
        <is>
          <t>S24</t>
        </is>
      </c>
      <c r="B28" s="9" t="inlineStr">
        <is>
          <t>Securitize Corp (PR Newswire)</t>
        </is>
      </c>
      <c r="C28" s="7" t="inlineStr">
        <is>
          <t>Q2 2026 Results - revenue $14.4m (tokenization $7.8m, asset servicing $6.6m); average tokenized AUM $4.3bn; 663 funds serviced</t>
        </is>
      </c>
      <c r="D28" s="13" t="inlineStr">
        <is>
          <t>30-Jun-2026</t>
        </is>
      </c>
      <c r="E28" s="16">
        <f>HYPERLINK("https://www.prnewswire.com/news-releases/securitize-reports-second-quarter-2026-results-302850119.html","open")</f>
        <v/>
      </c>
    </row>
    <row r="29" ht="30" customHeight="1">
      <c r="A29" s="15" t="inlineStr">
        <is>
          <t>S25</t>
        </is>
      </c>
      <c r="B29" s="9" t="inlineStr">
        <is>
          <t>Securitize Corp (PR Newswire)</t>
        </is>
      </c>
      <c r="C29" s="7" t="inlineStr">
        <is>
          <t>Q1 2026 Results - revenue $19.5m (tokenization $11.1m, asset servicing $8.3m); average tokenized AUM $3.2bn</t>
        </is>
      </c>
      <c r="D29" s="13" t="inlineStr">
        <is>
          <t>31-Mar-2026</t>
        </is>
      </c>
      <c r="E29" s="16">
        <f>HYPERLINK("https://www.prnewswire.com/news-releases/securitize-reports-first-quarter-2026-results-302777848.html","open")</f>
        <v/>
      </c>
    </row>
    <row r="30" ht="30" customHeight="1">
      <c r="A30" s="15" t="inlineStr">
        <is>
          <t>S26</t>
        </is>
      </c>
      <c r="B30" s="9" t="inlineStr">
        <is>
          <t>Congress.gov</t>
        </is>
      </c>
      <c r="C30" s="7" t="inlineStr">
        <is>
          <t>H.R.3633 Digital Asset Market Clarity Act, 119th Congress - bill text and status</t>
        </is>
      </c>
      <c r="D30" s="13" t="inlineStr">
        <is>
          <t>2026</t>
        </is>
      </c>
      <c r="E30" s="16">
        <f>HYPERLINK("https://www.congress.gov/bill/119th-congress/house-bill/3633","open")</f>
        <v/>
      </c>
    </row>
    <row r="31" ht="30" customHeight="1">
      <c r="A31" s="15" t="inlineStr">
        <is>
          <t>S27</t>
        </is>
      </c>
      <c r="B31" s="9" t="inlineStr">
        <is>
          <t>Disruption Banking</t>
        </is>
      </c>
      <c r="C31" s="7" t="inlineStr">
        <is>
          <t>CLARITY Act status - House passed 294-134 on 17-Jul-2025; Senate Banking advanced 15-9 on 14-May-2026; Senate Legislative Calendar No. 423 from 01-Jun-2026; not enacted</t>
        </is>
      </c>
      <c r="D31" s="13" t="inlineStr">
        <is>
          <t>31-Jul-2026</t>
        </is>
      </c>
      <c r="E31" s="16">
        <f>HYPERLINK("https://www.disruptionbanking.com/2026/07/31/clarity-act-update-where-the-crypto-market-structure-bill-stands-right-now/","open")</f>
        <v/>
      </c>
    </row>
    <row r="32" ht="30" customHeight="1">
      <c r="A32" s="15" t="inlineStr">
        <is>
          <t>S28</t>
        </is>
      </c>
      <c r="B32" s="9" t="inlineStr">
        <is>
          <t>NYSE</t>
        </is>
      </c>
      <c r="C32" s="7" t="inlineStr">
        <is>
          <t>Holidays and Trading Hours - 2026 calendar. 365 days less 104 weekend days less 10 full-day closures = 251 trading days (independently cross-checked)</t>
        </is>
      </c>
      <c r="D32" s="13" t="inlineStr">
        <is>
          <t>2026</t>
        </is>
      </c>
      <c r="E32" s="16">
        <f>HYPERLINK("https://www.nyse.com/markets/hours-calendars","open")</f>
        <v/>
      </c>
    </row>
    <row r="33" ht="30" customHeight="1">
      <c r="A33" s="15" t="inlineStr">
        <is>
          <t>S29</t>
        </is>
      </c>
      <c r="B33" s="9" t="inlineStr">
        <is>
          <t>Cadwalader</t>
        </is>
      </c>
      <c r="C33" s="7" t="inlineStr">
        <is>
          <t>SEC Staff Issues No-Action Relief for DTC Tokenization Pilot - legal analysis of the 11-Dec-2025 letter</t>
        </is>
      </c>
      <c r="D33" s="13" t="inlineStr">
        <is>
          <t>18-Dec-2025</t>
        </is>
      </c>
      <c r="E33" s="16">
        <f>HYPERLINK("https://www.cadwalader.com/fin-news/index.php?eid=1003&amp;nid=142","open")</f>
        <v/>
      </c>
    </row>
    <row r="34" ht="30" customHeight="1">
      <c r="A34" s="15" t="inlineStr">
        <is>
          <t>S30</t>
        </is>
      </c>
      <c r="B34" s="9" t="inlineStr">
        <is>
          <t>SIFMA</t>
        </is>
      </c>
      <c r="C34" s="7" t="inlineStr">
        <is>
          <t>Capital Markets Fact Book (annual reference for US equity market aggregates)</t>
        </is>
      </c>
      <c r="D34" s="13" t="inlineStr">
        <is>
          <t>2025</t>
        </is>
      </c>
      <c r="E34" s="16">
        <f>HYPERLINK("https://www.sifma.org/research/statistics/fact-book","open")</f>
        <v/>
      </c>
    </row>
    <row r="35" ht="30" customHeight="1">
      <c r="A35" s="15" t="inlineStr">
        <is>
          <t>S31</t>
        </is>
      </c>
      <c r="B35" s="9" t="inlineStr">
        <is>
          <t>DTCC</t>
        </is>
      </c>
      <c r="C35" s="7" t="inlineStr">
        <is>
          <t>Annual Financial Statements 2025 - total revenues $2,895.8m, of which settlement and asset services $664.6m and clearing services $1,336.2m</t>
        </is>
      </c>
      <c r="D35" s="13" t="inlineStr">
        <is>
          <t>FY2025</t>
        </is>
      </c>
      <c r="E35" s="16">
        <f>HYPERLINK("https://www.dtcc.com/-/media/Files/Downloads/legal/financials/2025/DTCC-Annual-Financial-Statement-2025.pdf","open")</f>
        <v/>
      </c>
    </row>
    <row r="36" ht="30" customHeight="1">
      <c r="A36" s="15" t="inlineStr">
        <is>
          <t>S32</t>
        </is>
      </c>
      <c r="B36" s="9" t="inlineStr">
        <is>
          <t>DTCC</t>
        </is>
      </c>
      <c r="C36" s="7" t="inlineStr">
        <is>
          <t>"DTC assets under custody increased to $100.3 Trillion (2025) from $73.5 Trillion (2020)" - the denominator for DTCC's servicing yield</t>
        </is>
      </c>
      <c r="D36" s="13" t="inlineStr">
        <is>
          <t>18-Jun-2025</t>
        </is>
      </c>
      <c r="E36" s="16">
        <f>HYPERLINK("https://www.dtcc.com/news/2025/june/18/dtcc-central-securities-depository-subsidiary-surpasses-100-trillion-in-assets-under-custody","open")</f>
        <v/>
      </c>
    </row>
    <row r="37" ht="30" customHeight="1">
      <c r="A37" s="15" t="inlineStr">
        <is>
          <t>S33</t>
        </is>
      </c>
      <c r="B37" s="9" t="inlineStr">
        <is>
          <t>Ondo Finance</t>
        </is>
      </c>
      <c r="C37" s="7" t="inlineStr">
        <is>
          <t>Ondo Stocks - more than $1bn TVL across 440+ tokenized stocks and ETFs; no explicit servicing or management fee is published, and ~2bps price impact on a $200k tokenized SPY trade is quoted</t>
        </is>
      </c>
      <c r="D37" s="13" t="inlineStr">
        <is>
          <t>Jul-2026</t>
        </is>
      </c>
      <c r="E37" s="16">
        <f>HYPERLINK("https://ondo.finance/ondo-stocks","open")</f>
        <v/>
      </c>
    </row>
    <row r="38">
      <c r="A38" s="63" t="inlineStr">
        <is>
          <t>S34</t>
        </is>
      </c>
      <c r="B38" s="64" t="inlineStr">
        <is>
          <t>DTCC</t>
        </is>
      </c>
      <c r="C38" s="64" t="inlineStr">
        <is>
          <t>Tokenization live production trades page - "about 40 firms participating", event dated 8 September, ahead of the October 2026 launch</t>
        </is>
      </c>
      <c r="D38" s="64" t="inlineStr">
        <is>
          <t>08-Sep-2026</t>
        </is>
      </c>
      <c r="E38" s="64">
        <f>HYPERLINK("https://www.dtcc.com/digital-assets/tokenization/live-production-trades","open")</f>
        <v/>
      </c>
    </row>
    <row r="39">
      <c r="A39" s="63" t="inlineStr">
        <is>
          <t>S35</t>
        </is>
      </c>
      <c r="B39" s="64" t="inlineStr">
        <is>
          <t>SEC Division of Corporation Finance</t>
        </is>
      </c>
      <c r="C39" s="64" t="inlineStr">
        <is>
          <t>Statement on Tokenized Securities - stock remains an equity security regardless of format; issuer-sponsored, third-party custodial and third-party synthetic models</t>
        </is>
      </c>
      <c r="D39" s="64" t="inlineStr">
        <is>
          <t>28-Jan-2026</t>
        </is>
      </c>
      <c r="E39" s="64">
        <f>HYPERLINK("https://www.sec.gov/newsroom/speeches-statements/corp-fin-statement-tokenized-securities-012826-statement-tokenized-securities","open")</f>
        <v/>
      </c>
    </row>
    <row r="40">
      <c r="A40" s="63" t="inlineStr">
        <is>
          <t>S36</t>
        </is>
      </c>
      <c r="B40" s="64" t="inlineStr">
        <is>
          <t>SEC</t>
        </is>
      </c>
      <c r="C40" s="64" t="inlineStr">
        <is>
          <t>Release No. 34-105047 - order approving Nasdaq rules for trading securities in tokenized form; fungible, same CUSIP and symbol, T+1 through DTC; Russell 1000 and major index ETFs</t>
        </is>
      </c>
      <c r="D40" s="64" t="inlineStr">
        <is>
          <t>18-Mar-2026</t>
        </is>
      </c>
      <c r="E40" s="64">
        <f>HYPERLINK("https://www.federalregister.gov/documents/2026/03/23/2026-05563/self-regulatory-organizations-the-nasdaq-stock-market-llc-order-approving-a-proposed-rule-change-as","open")</f>
        <v/>
      </c>
    </row>
  </sheetData>
  <mergeCells count="2">
    <mergeCell ref="A2:E2"/>
    <mergeCell ref="A1:E1"/>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72"/>
  <sheetViews>
    <sheetView showGridLines="0" workbookViewId="0">
      <pane ySplit="3" topLeftCell="A4" activePane="bottomLeft" state="frozen"/>
      <selection pane="bottomLeft" activeCell="A1" sqref="A1"/>
    </sheetView>
  </sheetViews>
  <sheetFormatPr baseColWidth="8" defaultRowHeight="15"/>
  <cols>
    <col width="56" customWidth="1" min="1" max="1"/>
    <col width="14" customWidth="1" min="2" max="2"/>
    <col width="12" customWidth="1" min="3" max="3"/>
    <col width="11" customWidth="1" min="4" max="4"/>
    <col width="7" customWidth="1" min="5" max="5"/>
    <col width="8" customWidth="1" min="6" max="6"/>
    <col width="62" customWidth="1" min="7" max="7"/>
    <col width="4" customWidth="1" min="8" max="8"/>
  </cols>
  <sheetData>
    <row r="1" ht="22" customHeight="1">
      <c r="A1" s="1" t="inlineStr">
        <is>
          <t>Inputs</t>
        </is>
      </c>
    </row>
    <row r="2" ht="15" customHeight="1">
      <c r="A2" s="3" t="inlineStr">
        <is>
          <t>Blue cells are the only hard-coded numbers in the model. Status: VERIFIED = in the linked document. DERIVED = arithmetic on verified figures. FORECAST = judgement, listed on Audit.</t>
        </is>
      </c>
    </row>
    <row r="4" ht="16" customHeight="1">
      <c r="A4" s="4" t="inlineStr">
        <is>
          <t>1.  US EQUITY MARKET - OBSERVED</t>
        </is>
      </c>
      <c r="B4" s="5" t="n"/>
      <c r="C4" s="5" t="n"/>
      <c r="D4" s="5" t="n"/>
      <c r="E4" s="5" t="n"/>
      <c r="F4" s="5" t="n"/>
      <c r="G4" s="5" t="n"/>
      <c r="H4" s="5" t="n"/>
    </row>
    <row r="5">
      <c r="A5" s="14" t="inlineStr">
        <is>
          <t>Input</t>
        </is>
      </c>
      <c r="B5" s="14" t="inlineStr">
        <is>
          <t>Value</t>
        </is>
      </c>
      <c r="C5" s="17" t="inlineStr">
        <is>
          <t>Unit</t>
        </is>
      </c>
      <c r="D5" s="17" t="inlineStr">
        <is>
          <t>Status</t>
        </is>
      </c>
      <c r="E5" s="17" t="inlineStr">
        <is>
          <t>Src</t>
        </is>
      </c>
      <c r="F5" s="17" t="inlineStr">
        <is>
          <t>Link</t>
        </is>
      </c>
      <c r="G5" s="14" t="inlineStr">
        <is>
          <t>Basis / derivation</t>
        </is>
      </c>
    </row>
    <row r="6">
      <c r="A6" s="9" t="inlineStr">
        <is>
          <t>Total US equity market capitalisation</t>
        </is>
      </c>
      <c r="B6" s="18" t="n">
        <v>76900</v>
      </c>
      <c r="C6" s="13" t="inlineStr">
        <is>
          <t>$Bn</t>
        </is>
      </c>
      <c r="D6" s="19" t="inlineStr">
        <is>
          <t>VERIFIED</t>
        </is>
      </c>
      <c r="E6" s="19" t="inlineStr">
        <is>
          <t>S01</t>
        </is>
      </c>
      <c r="F6" s="16">
        <f>HYPERLINK("https://www.sifma.org/wp-content/uploads/2026/04/SIFMA-Research-Quarterly-Equity-and-Related-2Q26.pdf","open")</f>
        <v/>
      </c>
      <c r="G6" s="20" t="inlineStr">
        <is>
          <t>SIFMA 2Q26: "Market cap of all US listed companies totaled $76.9T in 2Q26"</t>
        </is>
      </c>
    </row>
    <row r="7">
      <c r="A7" s="9" t="inlineStr">
        <is>
          <t>Total US listed companies</t>
        </is>
      </c>
      <c r="B7" s="18" t="n">
        <v>5532</v>
      </c>
      <c r="C7" s="13" t="inlineStr">
        <is>
          <t>count</t>
        </is>
      </c>
      <c r="D7" s="19" t="inlineStr">
        <is>
          <t>VERIFIED</t>
        </is>
      </c>
      <c r="E7" s="19" t="inlineStr">
        <is>
          <t>S01</t>
        </is>
      </c>
      <c r="F7" s="16">
        <f>HYPERLINK("https://www.sifma.org/wp-content/uploads/2026/04/SIFMA-Research-Quarterly-Equity-and-Related-2Q26.pdf","open")</f>
        <v/>
      </c>
      <c r="G7" s="20" t="inlineStr">
        <is>
          <t>SIFMA 2Q26: "the number of listed companies stood at 5,532"</t>
        </is>
      </c>
    </row>
    <row r="8">
      <c r="A8" s="9" t="inlineStr">
        <is>
          <t>US equity average daily notional value</t>
        </is>
      </c>
      <c r="B8" s="18" t="n">
        <v>1100</v>
      </c>
      <c r="C8" s="13" t="inlineStr">
        <is>
          <t>$Bn/day</t>
        </is>
      </c>
      <c r="D8" s="19" t="inlineStr">
        <is>
          <t>VERIFIED</t>
        </is>
      </c>
      <c r="E8" s="19" t="inlineStr">
        <is>
          <t>S03</t>
        </is>
      </c>
      <c r="F8" s="16">
        <f>HYPERLINK("https://www.cboe.com/insights/posts/2025-u-s-equities-year-in-review","open")</f>
        <v/>
      </c>
      <c r="G8" s="20" t="inlineStr">
        <is>
          <t>Cboe FY25: "average daily notional value (ADNV) increasing 43.3% year-over-year to $1.1 trillion"</t>
        </is>
      </c>
    </row>
    <row r="9">
      <c r="A9" s="9" t="inlineStr">
        <is>
          <t>US equity average daily volume</t>
        </is>
      </c>
      <c r="B9" s="21" t="n">
        <v>17.6</v>
      </c>
      <c r="C9" s="13" t="inlineStr">
        <is>
          <t>Bn shares</t>
        </is>
      </c>
      <c r="D9" s="19" t="inlineStr">
        <is>
          <t>VERIFIED</t>
        </is>
      </c>
      <c r="E9" s="19" t="inlineStr">
        <is>
          <t>S03</t>
        </is>
      </c>
      <c r="F9" s="16">
        <f>HYPERLINK("https://www.cboe.com/insights/posts/2025-u-s-equities-year-in-review","open")</f>
        <v/>
      </c>
      <c r="G9" s="20" t="inlineStr">
        <is>
          <t>Cboe FY25: "ADV increased 44.6% year-over-year to 17.6 billion shares"</t>
        </is>
      </c>
    </row>
    <row r="10">
      <c r="A10" s="9" t="inlineStr">
        <is>
          <t>US trading days per year</t>
        </is>
      </c>
      <c r="B10" s="18" t="n">
        <v>251</v>
      </c>
      <c r="C10" s="13" t="inlineStr">
        <is>
          <t>days</t>
        </is>
      </c>
      <c r="D10" s="19" t="inlineStr">
        <is>
          <t>DERIVED</t>
        </is>
      </c>
      <c r="E10" s="19" t="inlineStr">
        <is>
          <t>S28</t>
        </is>
      </c>
      <c r="F10" s="16">
        <f>HYPERLINK("https://www.nyse.com/markets/hours-calendars","open")</f>
        <v/>
      </c>
      <c r="G10" s="20" t="inlineStr">
        <is>
          <t>2026 has 261 weekdays less 10 full-day NYSE closures = 251</t>
        </is>
      </c>
    </row>
    <row r="11">
      <c r="A11" s="9" t="inlineStr">
        <is>
          <t>US equity market cap, 4Q25 (turnover denominator)</t>
        </is>
      </c>
      <c r="B11" s="18" t="n">
        <v>69000</v>
      </c>
      <c r="C11" s="13" t="inlineStr">
        <is>
          <t>$Bn</t>
        </is>
      </c>
      <c r="D11" s="19" t="inlineStr">
        <is>
          <t>DERIVED</t>
        </is>
      </c>
      <c r="E11" s="19" t="inlineStr">
        <is>
          <t>S02</t>
        </is>
      </c>
      <c r="F11" s="16">
        <f>HYPERLINK("https://www.sifma.org/research/statistics/research-quarterly-equity-and-related","open")</f>
        <v/>
      </c>
      <c r="G11" s="20" t="inlineStr">
        <is>
          <t>SIFMA reported 1Q26 market cap of $66.0T at -4.3% Q/Q, which implies $69.0T at 4Q25. Matched to the FY25 ADV above so turnover is like-for-like</t>
        </is>
      </c>
    </row>
    <row r="12">
      <c r="A12" s="9" t="inlineStr">
        <is>
          <t>Implied US equity turnover</t>
        </is>
      </c>
      <c r="B12" s="22">
        <f>B8*B10/B11</f>
        <v/>
      </c>
      <c r="C12" s="13" t="inlineStr">
        <is>
          <t>x mkt cap</t>
        </is>
      </c>
      <c r="D12" s="19" t="inlineStr">
        <is>
          <t>DERIVED</t>
        </is>
      </c>
      <c r="G12" s="20" t="inlineStr">
        <is>
          <t>ADV x trading days / market cap. v6.1 asserted 2.5x, which contradicted its own ADV input.</t>
        </is>
      </c>
    </row>
    <row r="14" ht="16" customHeight="1">
      <c r="A14" s="4" t="inlineStr">
        <is>
          <t>2.  SEGMENTATION - RUSSELL INDEX BASIS</t>
        </is>
      </c>
      <c r="B14" s="5" t="n"/>
      <c r="C14" s="5" t="n"/>
      <c r="D14" s="5" t="n"/>
      <c r="E14" s="5" t="n"/>
      <c r="F14" s="5" t="n"/>
      <c r="G14" s="5" t="n"/>
      <c r="H14" s="5" t="n"/>
    </row>
    <row r="15">
      <c r="A15" s="23" t="inlineStr">
        <is>
          <t>The Russell 1000 boundary is the regulatory perimeter: the SEC's no-action letter scopes DTCC's tokenization service to the Russell 1000, index ETFs and Treasuries.</t>
        </is>
      </c>
    </row>
    <row r="16">
      <c r="A16" s="14" t="inlineStr">
        <is>
          <t>Input</t>
        </is>
      </c>
      <c r="B16" s="14" t="inlineStr">
        <is>
          <t>Value</t>
        </is>
      </c>
      <c r="C16" s="17" t="inlineStr">
        <is>
          <t>Unit</t>
        </is>
      </c>
      <c r="D16" s="17" t="inlineStr">
        <is>
          <t>Status</t>
        </is>
      </c>
      <c r="E16" s="17" t="inlineStr">
        <is>
          <t>Src</t>
        </is>
      </c>
      <c r="F16" s="17" t="inlineStr">
        <is>
          <t>Link</t>
        </is>
      </c>
      <c r="G16" s="14" t="inlineStr">
        <is>
          <t>Basis / derivation</t>
        </is>
      </c>
    </row>
    <row r="17">
      <c r="A17" s="9" t="inlineStr">
        <is>
          <t>Russell 3000 market cap</t>
        </is>
      </c>
      <c r="B17" s="18" t="n">
        <v>75600</v>
      </c>
      <c r="C17" s="13" t="inlineStr">
        <is>
          <t>$Bn</t>
        </is>
      </c>
      <c r="D17" s="19" t="inlineStr">
        <is>
          <t>VERIFIED</t>
        </is>
      </c>
      <c r="E17" s="19" t="inlineStr">
        <is>
          <t>S04</t>
        </is>
      </c>
      <c r="F17" s="16">
        <f>HYPERLINK("https://www.lseg.com/en/insights/ftse-russell/russell-reconstitution-june-2026-larger-leaders-stronger-small-caps","open")</f>
        <v/>
      </c>
      <c r="G17" s="20" t="inlineStr">
        <is>
          <t>LSEG June 2026 reconstitution: "$75.6 trillion on this year's rank day (April 30, 2026)"; ~98% of investable US market cap</t>
        </is>
      </c>
    </row>
    <row r="18">
      <c r="A18" s="15" t="inlineStr">
        <is>
          <t>Russell 2000 market cap  [Segment 2]</t>
        </is>
      </c>
      <c r="B18" s="18" t="n">
        <v>3500</v>
      </c>
      <c r="C18" s="13" t="inlineStr">
        <is>
          <t>$Bn</t>
        </is>
      </c>
      <c r="D18" s="19" t="inlineStr">
        <is>
          <t>VERIFIED</t>
        </is>
      </c>
      <c r="E18" s="19" t="inlineStr">
        <is>
          <t>S04</t>
        </is>
      </c>
      <c r="F18" s="16">
        <f>HYPERLINK("https://www.lseg.com/en/insights/ftse-russell/russell-reconstitution-june-2026-larger-leaders-stronger-small-caps","open")</f>
        <v/>
      </c>
      <c r="G18" s="20" t="inlineStr">
        <is>
          <t>LSEG June 2026 reconstitution: "$3.5 trillion in 2026"</t>
        </is>
      </c>
    </row>
    <row r="19">
      <c r="A19" s="15" t="inlineStr">
        <is>
          <t>Russell 1000 market cap  [Segment 1]</t>
        </is>
      </c>
      <c r="B19" s="24">
        <f>B17-B18</f>
        <v/>
      </c>
      <c r="C19" s="13" t="inlineStr">
        <is>
          <t>$Bn</t>
        </is>
      </c>
      <c r="D19" s="19" t="inlineStr">
        <is>
          <t>DERIVED</t>
        </is>
      </c>
      <c r="E19" s="19" t="inlineStr">
        <is>
          <t>S04</t>
        </is>
      </c>
      <c r="F19" s="16">
        <f>HYPERLINK("https://www.lseg.com/en/insights/ftse-russell/russell-reconstitution-june-2026-larger-leaders-stronger-small-caps","open")</f>
        <v/>
      </c>
      <c r="G19" s="13" t="inlineStr">
        <is>
          <t>Russell 3000 less Russell 2000</t>
        </is>
      </c>
    </row>
    <row r="20" ht="26" customHeight="1">
      <c r="A20" s="15" t="inlineStr">
        <is>
          <t>Other US listed, outside Russell 3000  [Segment 3]</t>
        </is>
      </c>
      <c r="B20" s="24">
        <f>B6-B17</f>
        <v/>
      </c>
      <c r="C20" s="13" t="inlineStr">
        <is>
          <t>$Bn</t>
        </is>
      </c>
      <c r="D20" s="19" t="inlineStr">
        <is>
          <t>DERIVED</t>
        </is>
      </c>
      <c r="E20" s="19" t="inlineStr">
        <is>
          <t>S01</t>
        </is>
      </c>
      <c r="F20" s="16">
        <f>HYPERLINK("https://www.sifma.org/wp-content/uploads/2026/04/SIFMA-Research-Quarterly-Equity-and-Related-2Q26.pdf","open")</f>
        <v/>
      </c>
      <c r="G20" s="20" t="inlineStr">
        <is>
          <t>SIFMA total less Russell 3000. Note the two are struck 61 days apart (30-Apr-26 rank day vs 30-Jun-26 quarter end); the residual is small and the timing gap is disclosed rather than smoothed.</t>
        </is>
      </c>
    </row>
    <row r="21">
      <c r="A21" s="9" t="inlineStr">
        <is>
          <t>Companies - Russell 1000</t>
        </is>
      </c>
      <c r="B21" s="18" t="n">
        <v>1000</v>
      </c>
      <c r="C21" s="13" t="inlineStr">
        <is>
          <t>count</t>
        </is>
      </c>
      <c r="D21" s="19" t="inlineStr">
        <is>
          <t>VERIFIED</t>
        </is>
      </c>
      <c r="E21" s="19" t="inlineStr">
        <is>
          <t>S04</t>
        </is>
      </c>
      <c r="F21" s="16">
        <f>HYPERLINK("https://www.lseg.com/en/insights/ftse-russell/russell-reconstitution-june-2026-larger-leaders-stronger-small-caps","open")</f>
        <v/>
      </c>
      <c r="G21" s="20" t="inlineStr">
        <is>
          <t>Index construction: the 1,000 largest US companies by market cap</t>
        </is>
      </c>
    </row>
    <row r="22">
      <c r="A22" s="9" t="inlineStr">
        <is>
          <t>Companies - Russell 2000</t>
        </is>
      </c>
      <c r="B22" s="18" t="n">
        <v>2000</v>
      </c>
      <c r="C22" s="13" t="inlineStr">
        <is>
          <t>count</t>
        </is>
      </c>
      <c r="D22" s="19" t="inlineStr">
        <is>
          <t>VERIFIED</t>
        </is>
      </c>
      <c r="E22" s="19" t="inlineStr">
        <is>
          <t>S04</t>
        </is>
      </c>
      <c r="F22" s="16">
        <f>HYPERLINK("https://www.lseg.com/en/insights/ftse-russell/russell-reconstitution-june-2026-larger-leaders-stronger-small-caps","open")</f>
        <v/>
      </c>
      <c r="G22" s="20" t="inlineStr">
        <is>
          <t>Index construction: constituents 1,001-3,000</t>
        </is>
      </c>
    </row>
    <row r="23">
      <c r="A23" s="9" t="inlineStr">
        <is>
          <t>Companies - other listed</t>
        </is>
      </c>
      <c r="B23" s="24">
        <f>B7-B21-B22</f>
        <v/>
      </c>
      <c r="C23" s="13" t="inlineStr">
        <is>
          <t>count</t>
        </is>
      </c>
      <c r="D23" s="19" t="inlineStr">
        <is>
          <t>DERIVED</t>
        </is>
      </c>
    </row>
    <row r="24">
      <c r="A24" s="9" t="inlineStr">
        <is>
          <t>Russell 1000 / 2000 market cap breakpoint</t>
        </is>
      </c>
      <c r="B24" s="21" t="n">
        <v>5.7</v>
      </c>
      <c r="C24" s="13" t="inlineStr">
        <is>
          <t>$Bn</t>
        </is>
      </c>
      <c r="D24" s="19" t="inlineStr">
        <is>
          <t>VERIFIED</t>
        </is>
      </c>
      <c r="E24" s="19" t="inlineStr">
        <is>
          <t>S04</t>
        </is>
      </c>
      <c r="F24" s="16">
        <f>HYPERLINK("https://www.lseg.com/en/insights/ftse-russell/russell-reconstitution-june-2026-larger-leaders-stronger-small-caps","open")</f>
        <v/>
      </c>
      <c r="G24" s="20" t="inlineStr">
        <is>
          <t>LSEG June 2026 reconstitution: "$5.7 billion in 2026" (up from $4.6bn in 2025)</t>
        </is>
      </c>
    </row>
    <row r="26" ht="16" customHeight="1">
      <c r="A26" s="4" t="inlineStr">
        <is>
          <t>3.  OBSERVED TOKENIZED EQUITY BASE - THE MODEL ANCHOR</t>
        </is>
      </c>
      <c r="B26" s="5" t="n"/>
      <c r="C26" s="5" t="n"/>
      <c r="D26" s="5" t="n"/>
      <c r="E26" s="5" t="n"/>
      <c r="F26" s="5" t="n"/>
      <c r="G26" s="5" t="n"/>
      <c r="H26" s="5" t="n"/>
    </row>
    <row r="27">
      <c r="A27" s="14" t="inlineStr">
        <is>
          <t>Input</t>
        </is>
      </c>
      <c r="B27" s="14" t="inlineStr">
        <is>
          <t>Value</t>
        </is>
      </c>
      <c r="C27" s="17" t="inlineStr">
        <is>
          <t>Unit</t>
        </is>
      </c>
      <c r="D27" s="17" t="inlineStr">
        <is>
          <t>Status</t>
        </is>
      </c>
      <c r="E27" s="17" t="inlineStr">
        <is>
          <t>Src</t>
        </is>
      </c>
      <c r="F27" s="17" t="inlineStr">
        <is>
          <t>Link</t>
        </is>
      </c>
      <c r="G27" s="14" t="inlineStr">
        <is>
          <t>Basis / derivation</t>
        </is>
      </c>
    </row>
    <row r="28">
      <c r="A28" s="9" t="inlineStr">
        <is>
          <t>Tokenized equities, on-chain value</t>
        </is>
      </c>
      <c r="B28" s="25" t="n">
        <v>2.8</v>
      </c>
      <c r="C28" s="13" t="inlineStr">
        <is>
          <t>$Bn</t>
        </is>
      </c>
      <c r="D28" s="19" t="inlineStr">
        <is>
          <t>VERIFIED</t>
        </is>
      </c>
      <c r="E28" s="19" t="inlineStr">
        <is>
          <t>S07</t>
        </is>
      </c>
      <c r="F28" s="16">
        <f>HYPERLINK("https://www.cryptotimes.io/2026/08/27/tokenized-rwa-market-hits-44-7b-as-funds-hold-76-4-share/","open")</f>
        <v/>
      </c>
      <c r="G28" s="20" t="inlineStr">
        <is>
          <t>Token Terminal via Crypto Times, 26-Aug-26: tokenized stocks $2.8bn, 6.3% of a $44.7bn RWA market</t>
        </is>
      </c>
    </row>
    <row r="29">
      <c r="A29" s="9" t="inlineStr">
        <is>
          <t>Cross-check - independent estimate</t>
        </is>
      </c>
      <c r="B29" s="25" t="n">
        <v>2.5</v>
      </c>
      <c r="C29" s="13" t="inlineStr">
        <is>
          <t>$Bn</t>
        </is>
      </c>
      <c r="D29" s="19" t="inlineStr">
        <is>
          <t>VERIFIED</t>
        </is>
      </c>
      <c r="E29" s="19" t="inlineStr">
        <is>
          <t>S08</t>
        </is>
      </c>
      <c r="F29" s="16">
        <f>HYPERLINK("https://cryptobriefing.com/tokenized-stocks-rwa-market-cap-share/","open")</f>
        <v/>
      </c>
      <c r="G29" s="20" t="inlineStr">
        <is>
          <t>rwa.xyz via Crypto Briefing, 13-Aug-26: ~$2.5bn distributed value, ~1.18m holders. Two providers 13 days apart agree within 12%</t>
        </is>
      </c>
    </row>
    <row r="30">
      <c r="A30" s="9" t="inlineStr">
        <is>
          <t>Share of the observed base in Russell 1000 names</t>
        </is>
      </c>
      <c r="B30" s="26" t="n">
        <v>1</v>
      </c>
      <c r="C30" s="13" t="inlineStr">
        <is>
          <t>%</t>
        </is>
      </c>
      <c r="D30" s="19" t="inlineStr">
        <is>
          <t>VERIFIED</t>
        </is>
      </c>
      <c r="E30" s="19" t="inlineStr">
        <is>
          <t>S09</t>
        </is>
      </c>
      <c r="F30" s="16">
        <f>HYPERLINK("https://www.webopedia.com/crypto/learn/biggest-tokenized-stocks/","open")</f>
        <v/>
      </c>
      <c r="G30" s="20" t="inlineStr">
        <is>
          <t>All ten largest tokenized stocks are Russell 1000 constituents or index ETFs: TSLA, GOOGL, NVDA, CRCL, QQQ, SPY, MSTR, AAPL, COIN, GLD</t>
        </is>
      </c>
    </row>
    <row r="31">
      <c r="A31" s="15" t="inlineStr">
        <is>
          <t>Anchor penetration, Russell 1000, 2026</t>
        </is>
      </c>
      <c r="B31" s="27">
        <f>B28*B30/B19</f>
        <v/>
      </c>
      <c r="C31" s="13" t="inlineStr">
        <is>
          <t>% of seg</t>
        </is>
      </c>
      <c r="D31" s="19" t="inlineStr">
        <is>
          <t>DERIVED</t>
        </is>
      </c>
      <c r="G31" s="20" t="inlineStr">
        <is>
          <t>The adoption curve is forced through this point. It is an observation, not a choice.</t>
        </is>
      </c>
    </row>
    <row r="33" ht="16" customHeight="1">
      <c r="A33" s="4" t="inlineStr">
        <is>
          <t>4.  PENETRATION ENGINE CONTROLS</t>
        </is>
      </c>
      <c r="B33" s="5" t="n"/>
      <c r="C33" s="5" t="n"/>
      <c r="D33" s="5" t="n"/>
      <c r="E33" s="5" t="n"/>
      <c r="F33" s="5" t="n"/>
      <c r="G33" s="5" t="n"/>
      <c r="H33" s="5" t="n"/>
    </row>
    <row r="34">
      <c r="A34" s="23" t="inlineStr">
        <is>
          <t>Sourced reference points that bracket the terminal ceiling. The ADR wrapper is the low outcome; the domestic equity ETF wrapper is the high outcome.</t>
        </is>
      </c>
    </row>
    <row r="35">
      <c r="A35" s="14" t="inlineStr">
        <is>
          <t>Input</t>
        </is>
      </c>
      <c r="B35" s="14" t="inlineStr">
        <is>
          <t>Value</t>
        </is>
      </c>
      <c r="C35" s="17" t="inlineStr">
        <is>
          <t>Unit</t>
        </is>
      </c>
      <c r="D35" s="17" t="inlineStr">
        <is>
          <t>Status</t>
        </is>
      </c>
      <c r="E35" s="17" t="inlineStr">
        <is>
          <t>Src</t>
        </is>
      </c>
      <c r="F35" s="17" t="inlineStr">
        <is>
          <t>Link</t>
        </is>
      </c>
      <c r="G35" s="14" t="inlineStr">
        <is>
          <t>Basis / derivation</t>
        </is>
      </c>
    </row>
    <row r="36" ht="26" customHeight="1">
      <c r="A36" s="9" t="inlineStr">
        <is>
          <t>REFERENCE - domestic equity ETF net assets / US market cap</t>
        </is>
      </c>
      <c r="B36" s="28">
        <f>10090.4/B6</f>
        <v/>
      </c>
      <c r="C36" s="13" t="inlineStr">
        <is>
          <t>%</t>
        </is>
      </c>
      <c r="D36" s="19" t="inlineStr">
        <is>
          <t>DERIVED</t>
        </is>
      </c>
      <c r="E36" s="19" t="inlineStr">
        <is>
          <t>S10</t>
        </is>
      </c>
      <c r="F36" s="16">
        <f>HYPERLINK("https://www.ici.org/research/stats/etf/etfs_04_26","open")</f>
        <v/>
      </c>
      <c r="G36" s="20" t="inlineStr">
        <is>
          <t>ICI Jul-26: domestic equity ETFs $10,090.4bn. Note the correct numerator - total ETF assets of $15.67T include bond, commodity and international funds and do not measure US equity penetration</t>
        </is>
      </c>
    </row>
    <row r="37">
      <c r="A37" s="9" t="inlineStr">
        <is>
          <t>REFERENCE - DR value held / US market cap</t>
        </is>
      </c>
      <c r="B37" s="28">
        <f>1200/B6</f>
        <v/>
      </c>
      <c r="C37" s="13" t="inlineStr">
        <is>
          <t>%</t>
        </is>
      </c>
      <c r="D37" s="19" t="inlineStr">
        <is>
          <t>DERIVED</t>
        </is>
      </c>
      <c r="E37" s="19" t="inlineStr">
        <is>
          <t>S13</t>
        </is>
      </c>
      <c r="F37" s="16">
        <f>HYPERLINK("https://www.bny.com/assets/corporate/documents/pdf/year-In-review-v8.pdf","open")</f>
        <v/>
      </c>
      <c r="G37" s="13" t="inlineStr">
        <is>
          <t>BNY DR Market Review 2025: global DR investment $1.2T at YE25 across 2,885 programs</t>
        </is>
      </c>
    </row>
    <row r="38">
      <c r="A38" s="9" t="inlineStr">
        <is>
          <t>Terminal penetration ceiling - Russell 1000</t>
        </is>
      </c>
      <c r="B38" s="26" t="n">
        <v>0.08</v>
      </c>
      <c r="C38" s="13" t="inlineStr">
        <is>
          <t>%</t>
        </is>
      </c>
      <c r="D38" s="19" t="inlineStr">
        <is>
          <t>FORECAST</t>
        </is>
      </c>
      <c r="G38" s="20" t="inlineStr">
        <is>
          <t>Set between the two sourced references above. Russell 1000 leads because it is the only segment inside the DTCC no-action perimeter</t>
        </is>
      </c>
    </row>
    <row r="39">
      <c r="A39" s="9" t="inlineStr">
        <is>
          <t>Terminal penetration ceiling - Russell 2000</t>
        </is>
      </c>
      <c r="B39" s="26" t="n">
        <v>0.05</v>
      </c>
      <c r="C39" s="13" t="inlineStr">
        <is>
          <t>%</t>
        </is>
      </c>
      <c r="D39" s="19" t="inlineStr">
        <is>
          <t>FORECAST</t>
        </is>
      </c>
      <c r="G39" s="20" t="inlineStr">
        <is>
          <t>Below the Russell 1000 ceiling: outside the current perimeter and structurally less attractive to global retail demand</t>
        </is>
      </c>
    </row>
    <row r="40">
      <c r="A40" s="9" t="inlineStr">
        <is>
          <t>Terminal penetration ceiling - other listed</t>
        </is>
      </c>
      <c r="B40" s="26" t="n">
        <v>0.02</v>
      </c>
      <c r="C40" s="13" t="inlineStr">
        <is>
          <t>%</t>
        </is>
      </c>
      <c r="D40" s="19" t="inlineStr">
        <is>
          <t>FORECAST</t>
        </is>
      </c>
      <c r="G40" s="20" t="inlineStr">
        <is>
          <t>ADR-like outcome. Micro caps lack the liquidity that makes a 24/7 wrapper worth issuing</t>
        </is>
      </c>
    </row>
    <row r="41">
      <c r="A41" s="9" t="inlineStr">
        <is>
          <t>Logistic steepness k</t>
        </is>
      </c>
      <c r="B41" s="25" t="n">
        <v>0.9</v>
      </c>
      <c r="C41" s="13" t="inlineStr">
        <is>
          <t>-</t>
        </is>
      </c>
      <c r="D41" s="19" t="inlineStr">
        <is>
          <t>FORECAST</t>
        </is>
      </c>
      <c r="G41" s="20" t="inlineStr">
        <is>
          <t>Higher k = faster S-curve. At k=0.9 the Russell 1000 curve inflects in 2034 (see Penetration tab). Sensitivity on the Scenarios tab</t>
        </is>
      </c>
    </row>
    <row r="42">
      <c r="A42" s="9" t="inlineStr">
        <is>
          <t>Adoption lag - Russell 2000</t>
        </is>
      </c>
      <c r="B42" s="18" t="n">
        <v>3</v>
      </c>
      <c r="C42" s="13" t="inlineStr">
        <is>
          <t>years</t>
        </is>
      </c>
      <c r="D42" s="19" t="inlineStr">
        <is>
          <t>FORECAST</t>
        </is>
      </c>
      <c r="G42" s="20" t="inlineStr">
        <is>
          <t>Extending DTCC's service beyond the Russell 1000 requires fresh SEC relief; the current letter runs three years from 11-Dec-25</t>
        </is>
      </c>
    </row>
    <row r="43">
      <c r="A43" s="9" t="inlineStr">
        <is>
          <t>Adoption lag - other listed</t>
        </is>
      </c>
      <c r="B43" s="18" t="n">
        <v>6</v>
      </c>
      <c r="C43" s="13" t="inlineStr">
        <is>
          <t>years</t>
        </is>
      </c>
      <c r="D43" s="19" t="inlineStr">
        <is>
          <t>FORECAST</t>
        </is>
      </c>
      <c r="G43" s="20" t="inlineStr">
        <is>
          <t>Two further relief cycles</t>
        </is>
      </c>
    </row>
    <row r="44">
      <c r="A44" s="9" t="inlineStr">
        <is>
          <t>US equity market cap growth p.a.</t>
        </is>
      </c>
      <c r="B44" s="26" t="n">
        <v>0.05</v>
      </c>
      <c r="C44" s="13" t="inlineStr">
        <is>
          <t>%</t>
        </is>
      </c>
      <c r="D44" s="19" t="inlineStr">
        <is>
          <t>FORECAST</t>
        </is>
      </c>
      <c r="G44" s="20" t="inlineStr">
        <is>
          <t>Long-run nominal equity market growth. Applied uniformly to all three segments</t>
        </is>
      </c>
    </row>
    <row r="46" ht="16" customHeight="1">
      <c r="A46" s="4" t="inlineStr">
        <is>
          <t>5.  REVENUE RATE ANCHORS - ALL COMPUTED FROM DISCLOSED FIGURES</t>
        </is>
      </c>
      <c r="B46" s="5" t="n"/>
      <c r="C46" s="5" t="n"/>
      <c r="D46" s="5" t="n"/>
      <c r="E46" s="5" t="n"/>
      <c r="F46" s="5" t="n"/>
      <c r="G46" s="5" t="n"/>
      <c r="H46" s="5" t="n"/>
    </row>
    <row r="47">
      <c r="A47" s="14" t="inlineStr">
        <is>
          <t>Input</t>
        </is>
      </c>
      <c r="B47" s="14" t="inlineStr">
        <is>
          <t>Value</t>
        </is>
      </c>
      <c r="C47" s="17" t="inlineStr">
        <is>
          <t>Unit</t>
        </is>
      </c>
      <c r="D47" s="17" t="inlineStr">
        <is>
          <t>Status</t>
        </is>
      </c>
      <c r="E47" s="17" t="inlineStr">
        <is>
          <t>Src</t>
        </is>
      </c>
      <c r="F47" s="17" t="inlineStr">
        <is>
          <t>Link</t>
        </is>
      </c>
      <c r="G47" s="14" t="inlineStr">
        <is>
          <t>Basis / derivation</t>
        </is>
      </c>
    </row>
    <row r="48" ht="26" customHeight="1">
      <c r="A48" s="15" t="inlineStr">
        <is>
          <t>Retail equity take rate  [trading anchor - low]</t>
        </is>
      </c>
      <c r="B48" s="29">
        <f>94/710000*10000</f>
        <v/>
      </c>
      <c r="C48" s="13" t="inlineStr">
        <is>
          <t>bps</t>
        </is>
      </c>
      <c r="D48" s="19" t="inlineStr">
        <is>
          <t>DERIVED</t>
        </is>
      </c>
      <c r="E48" s="19" t="inlineStr">
        <is>
          <t>S17</t>
        </is>
      </c>
      <c r="F48" s="16">
        <f>HYPERLINK("https://investors.robinhood.com/node/15161/pdf","open")</f>
        <v/>
      </c>
      <c r="G48" s="20" t="inlineStr">
        <is>
          <t>Robinhood Q4'25: equities transaction revenue $94m on equity notional volume $710bn</t>
        </is>
      </c>
    </row>
    <row r="49" ht="26" customHeight="1">
      <c r="A49" s="15" t="inlineStr">
        <is>
          <t>Institutional crypto spot take rate  [trading anchor - high]</t>
        </is>
      </c>
      <c r="B49" s="29">
        <f>185/215000*10000</f>
        <v/>
      </c>
      <c r="C49" s="13" t="inlineStr">
        <is>
          <t>bps</t>
        </is>
      </c>
      <c r="D49" s="19" t="inlineStr">
        <is>
          <t>DERIVED</t>
        </is>
      </c>
      <c r="E49" s="19" t="inlineStr">
        <is>
          <t>S16</t>
        </is>
      </c>
      <c r="F49" s="16">
        <f>HYPERLINK("https://www.sec.gov/Archives/edgar/data/1679788/000167978826000011/q425shareholderletter.htm","open")</f>
        <v/>
      </c>
      <c r="G49" s="20" t="inlineStr">
        <is>
          <t>Coinbase Q4'25: institutional transaction revenue $185m on institutional spot volume $215bn</t>
        </is>
      </c>
    </row>
    <row r="50" ht="26" customHeight="1">
      <c r="A50" s="9" t="inlineStr">
        <is>
          <t>reference: consumer crypto spot take rate</t>
        </is>
      </c>
      <c r="B50" s="29">
        <f>734/56000*10000</f>
        <v/>
      </c>
      <c r="C50" s="13" t="inlineStr">
        <is>
          <t>bps</t>
        </is>
      </c>
      <c r="D50" s="19" t="inlineStr">
        <is>
          <t>DERIVED</t>
        </is>
      </c>
      <c r="E50" s="19" t="inlineStr">
        <is>
          <t>S16</t>
        </is>
      </c>
      <c r="F50" s="16">
        <f>HYPERLINK("https://www.sec.gov/Archives/edgar/data/1679788/000167978826000011/q425shareholderletter.htm","open")</f>
        <v/>
      </c>
      <c r="G50" s="20" t="inlineStr">
        <is>
          <t>Coinbase Q4'25: consumer revenue $734m on consumer spot volume $56bn. Outer bound - crypto retail fee conventions, ~100x equity conventions</t>
        </is>
      </c>
    </row>
    <row r="51" ht="26" customHeight="1">
      <c r="A51" s="9" t="inlineStr">
        <is>
          <t>reference: Coinbase blended take rate FY25</t>
        </is>
      </c>
      <c r="B51" s="29">
        <f>4055.4/5200000*10000</f>
        <v/>
      </c>
      <c r="C51" s="13" t="inlineStr">
        <is>
          <t>bps</t>
        </is>
      </c>
      <c r="D51" s="19" t="inlineStr">
        <is>
          <t>DERIVED</t>
        </is>
      </c>
      <c r="E51" s="19" t="inlineStr">
        <is>
          <t>S16</t>
        </is>
      </c>
      <c r="F51" s="16">
        <f>HYPERLINK("https://www.sec.gov/Archives/edgar/data/1679788/000167978826000011/q425shareholderletter.htm","open")</f>
        <v/>
      </c>
      <c r="G51" s="20" t="inlineStr">
        <is>
          <t>FY25 transaction revenue $4,055.4m on $5.2T total trading volume</t>
        </is>
      </c>
    </row>
    <row r="52" ht="26" customHeight="1">
      <c r="A52" s="9" t="inlineStr">
        <is>
          <t>reference: exchange venue net capture</t>
        </is>
      </c>
      <c r="B52" s="30">
        <f>(0.018/100)/(B8/B9)*10000</f>
        <v/>
      </c>
      <c r="C52" s="13" t="inlineStr">
        <is>
          <t>bps</t>
        </is>
      </c>
      <c r="D52" s="19" t="inlineStr">
        <is>
          <t>DERIVED</t>
        </is>
      </c>
      <c r="E52" s="19" t="inlineStr">
        <is>
          <t>S18</t>
        </is>
      </c>
      <c r="F52" s="16">
        <f>HYPERLINK("https://ir.cboe.com/news/news-details/2026/Cboe-Global-Markets-Reports-Results-for-Fourth-Quarter-2025-and-Full-Year/default.aspx","open")</f>
        <v/>
      </c>
      <c r="G52" s="20" t="inlineStr">
        <is>
          <t>Cboe Q4'25 on-exchange net capture $0.018 per 100 touched shares, over an implied $62.50 average share price. The venue-only floor</t>
        </is>
      </c>
    </row>
    <row r="53" ht="26" customHeight="1">
      <c r="A53" s="15" t="inlineStr">
        <is>
          <t>Securities lending utilisation</t>
        </is>
      </c>
      <c r="B53" s="28">
        <f>3250/46700</f>
        <v/>
      </c>
      <c r="C53" s="13" t="inlineStr">
        <is>
          <t>%</t>
        </is>
      </c>
      <c r="D53" s="19" t="inlineStr">
        <is>
          <t>DERIVED</t>
        </is>
      </c>
      <c r="E53" s="19" t="inlineStr">
        <is>
          <t>S14</t>
        </is>
      </c>
      <c r="F53" s="16">
        <f>HYPERLINK("https://www.securitiesfinancetimes.com/securitieslendingnews/industryarticle.php?article_id=228388","open")</f>
        <v/>
      </c>
      <c r="G53" s="20" t="inlineStr">
        <is>
          <t>S&amp;P Global FY25: average on-loan $3.25T over average lendable $46.7T</t>
        </is>
      </c>
    </row>
    <row r="54" ht="26" customHeight="1">
      <c r="A54" s="15" t="inlineStr">
        <is>
          <t>Securities lending average fee</t>
        </is>
      </c>
      <c r="B54" s="31">
        <f>14900/3250000*10000</f>
        <v/>
      </c>
      <c r="C54" s="13" t="inlineStr">
        <is>
          <t>bps</t>
        </is>
      </c>
      <c r="D54" s="19" t="inlineStr">
        <is>
          <t>DERIVED</t>
        </is>
      </c>
      <c r="E54" s="19" t="inlineStr">
        <is>
          <t>S14</t>
        </is>
      </c>
      <c r="F54" s="16">
        <f>HYPERLINK("https://www.securitiesfinancetimes.com/securitieslendingnews/industryarticle.php?article_id=228388","open")</f>
        <v/>
      </c>
      <c r="G54" s="20" t="inlineStr">
        <is>
          <t>S&amp;P Global FY25: revenue $14.9bn over average on-loan balance $3.25T. EquiLend independently reports $15.3bn on balances above $4T</t>
        </is>
      </c>
    </row>
    <row r="55" ht="26" customHeight="1">
      <c r="A55" s="15" t="inlineStr">
        <is>
          <t>Traditional custody fee yield</t>
        </is>
      </c>
      <c r="B55" s="29">
        <f>10211/59300000*10000</f>
        <v/>
      </c>
      <c r="C55" s="13" t="inlineStr">
        <is>
          <t>bps</t>
        </is>
      </c>
      <c r="D55" s="19" t="inlineStr">
        <is>
          <t>DERIVED</t>
        </is>
      </c>
      <c r="E55" s="19" t="inlineStr">
        <is>
          <t>S19</t>
        </is>
      </c>
      <c r="F55" s="16">
        <f>HYPERLINK("https://www.bny.com/assets/corporate/documents/pdf/investor-relations/earnings/earnings-press-release-4q-2025.pdf","open")</f>
        <v/>
      </c>
      <c r="G55" s="20" t="inlineStr">
        <is>
          <t>BNY FY25: investment services fees $10,211m over AUC/A of $59.3T. Coinbase no longer discloses custodial fee revenue separately, so a digital-native rate is not derivable</t>
        </is>
      </c>
    </row>
    <row r="56" ht="26" customHeight="1">
      <c r="A56" s="15" t="inlineStr">
        <is>
          <t>Market data as % of trading revenue</t>
        </is>
      </c>
      <c r="B56" s="28">
        <f>1031/3885</f>
        <v/>
      </c>
      <c r="C56" s="13" t="inlineStr">
        <is>
          <t>%</t>
        </is>
      </c>
      <c r="D56" s="19" t="inlineStr">
        <is>
          <t>DERIVED</t>
        </is>
      </c>
      <c r="E56" s="19" t="inlineStr">
        <is>
          <t>S20</t>
        </is>
      </c>
      <c r="F56" s="16">
        <f>HYPERLINK("https://ir.theice.com/press/news-details/2026/Intercontinental-Exchange-Reports-Strong-Full-Year-2025-Results/default.aspx","open")</f>
        <v/>
      </c>
      <c r="G56" s="20" t="inlineStr">
        <is>
          <t>ICE FY25 Exchanges segment: data and connectivity $1,031m over transaction revenue net $3,885m</t>
        </is>
      </c>
    </row>
    <row r="57" ht="26" customHeight="1">
      <c r="A57" s="9" t="inlineStr">
        <is>
          <t>reference: Nasdaq data + index over net market services</t>
        </is>
      </c>
      <c r="B57" s="28">
        <f>(804+827)/1201</f>
        <v/>
      </c>
      <c r="C57" s="13" t="inlineStr">
        <is>
          <t>%</t>
        </is>
      </c>
      <c r="D57" s="19" t="inlineStr">
        <is>
          <t>DERIVED</t>
        </is>
      </c>
      <c r="E57" s="19" t="inlineStr">
        <is>
          <t>S21</t>
        </is>
      </c>
      <c r="F57" s="16">
        <f>HYPERLINK("https://ir.nasdaq.com/node/109901/pdf","open")</f>
        <v/>
      </c>
      <c r="G57" s="20" t="inlineStr">
        <is>
          <t>Nasdaq FY25: Data and Listing $804m plus Index $827m over Market Services net $1,201m. Upper bound - Nasdaq's index franchise is not volume-linked</t>
        </is>
      </c>
    </row>
    <row r="58">
      <c r="A58" s="9" t="inlineStr">
        <is>
          <t>NSCC value-into-net clearing fee</t>
        </is>
      </c>
      <c r="B58" s="25" t="n">
        <v>0.44</v>
      </c>
      <c r="C58" s="13" t="inlineStr">
        <is>
          <t>$/$M</t>
        </is>
      </c>
      <c r="D58" s="19" t="inlineStr">
        <is>
          <t>VERIFIED</t>
        </is>
      </c>
      <c r="E58" s="19" t="inlineStr">
        <is>
          <t>S23</t>
        </is>
      </c>
      <c r="F58" s="16">
        <f>HYPERLINK("https://www.federalregister.gov/documents/2025/12/17/2025-23068/self-regulatory-organizations-national-securities-clearing-corporation-notice-of-filing-and","open")</f>
        <v/>
      </c>
      <c r="G58" s="20" t="inlineStr">
        <is>
          <t>SR-NSCC-2025-017: "decrease its 'value into the net' fee from $0.46 to $0.44 per million of processed value", implemented 01-Jan-2026. The published fee guide PDF retrieved 10-Sep-2026 still shows 0.46, so the rule filing is the authority</t>
        </is>
      </c>
    </row>
    <row r="59" ht="26" customHeight="1">
      <c r="A59" s="15" t="inlineStr">
        <is>
          <t>NSCC clearing fee in bps</t>
        </is>
      </c>
      <c r="B59" s="30">
        <f>B58/1000000*10000</f>
        <v/>
      </c>
      <c r="C59" s="13" t="inlineStr">
        <is>
          <t>bps</t>
        </is>
      </c>
      <c r="D59" s="19" t="inlineStr">
        <is>
          <t>DERIVED</t>
        </is>
      </c>
      <c r="E59" s="19" t="inlineStr">
        <is>
          <t>S23</t>
        </is>
      </c>
      <c r="F59" s="16">
        <f>HYPERLINK("https://www.federalregister.gov/documents/2025/12/17/2025-23068/self-regulatory-organizations-national-securities-clearing-corporation-notice-of-filing-and","open")</f>
        <v/>
      </c>
      <c r="G59" s="20" t="inlineStr">
        <is>
          <t>Converted to bps on notional. v6.1 modelled $0.10 per trade against this same source, overstating clearing revenue by roughly 20-45x depending on trade size</t>
        </is>
      </c>
    </row>
    <row r="60" ht="26" customHeight="1">
      <c r="A60" s="9" t="inlineStr">
        <is>
          <t>UPPER BOOKEND - full-service tokenization yield, Q1'26</t>
        </is>
      </c>
      <c r="B60" s="31">
        <f>19.5*4/3200*10000</f>
        <v/>
      </c>
      <c r="C60" s="13" t="inlineStr">
        <is>
          <t>bps</t>
        </is>
      </c>
      <c r="D60" s="19" t="inlineStr">
        <is>
          <t>DERIVED</t>
        </is>
      </c>
      <c r="E60" s="19" t="inlineStr">
        <is>
          <t>S25</t>
        </is>
      </c>
      <c r="F60" s="16">
        <f>HYPERLINK("https://www.prnewswire.com/news-releases/securitize-reports-first-quarter-2026-results-302777848.html","open")</f>
        <v/>
      </c>
      <c r="G60" s="20" t="inlineStr">
        <is>
          <t>Securitize Q1'26: revenue $19.5m annualised over average tokenized AUM $3.2bn</t>
        </is>
      </c>
    </row>
    <row r="61" ht="26" customHeight="1">
      <c r="A61" s="15" t="inlineStr">
        <is>
          <t>UPPER BOOKEND - full-service tokenization yield, Q2'26</t>
        </is>
      </c>
      <c r="B61" s="31">
        <f>14.4*4/4300*10000</f>
        <v/>
      </c>
      <c r="C61" s="13" t="inlineStr">
        <is>
          <t>bps</t>
        </is>
      </c>
      <c r="D61" s="19" t="inlineStr">
        <is>
          <t>DERIVED</t>
        </is>
      </c>
      <c r="E61" s="19" t="inlineStr">
        <is>
          <t>S24</t>
        </is>
      </c>
      <c r="F61" s="16">
        <f>HYPERLINK("https://www.prnewswire.com/news-releases/securitize-reports-second-quarter-2026-results-302850119.html","open")</f>
        <v/>
      </c>
      <c r="G61" s="20" t="inlineStr">
        <is>
          <t>Securitize Q2'26: revenue $14.4m annualised over average tokenized AUM $4.3bn. Yield nearly halved in one quarter as AUM scaled - observed compression, not an assumed one. This is fund tokenization: the security is created, administered and transfer-agented by one provider</t>
        </is>
      </c>
    </row>
    <row r="62" ht="26" customHeight="1">
      <c r="A62" s="15" t="inlineStr">
        <is>
          <t>LOWER BOOKEND - utility servicing yield on listed securities</t>
        </is>
      </c>
      <c r="B62" s="30">
        <f>664.551/100300000*10000</f>
        <v/>
      </c>
      <c r="C62" s="13" t="inlineStr">
        <is>
          <t>bps</t>
        </is>
      </c>
      <c r="D62" s="19" t="inlineStr">
        <is>
          <t>DERIVED</t>
        </is>
      </c>
      <c r="E62" s="19" t="inlineStr">
        <is>
          <t>S31</t>
        </is>
      </c>
      <c r="F62" s="16">
        <f>HYPERLINK("https://www.dtcc.com/-/media/Files/Downloads/legal/financials/2025/DTCC-Annual-Financial-Statement-2025.pdf","open")</f>
        <v/>
      </c>
      <c r="G62" s="20" t="inlineStr">
        <is>
          <t>DTCC FY25 settlement and asset services revenue $664.6m over DTC assets under custody of $100.3T (S32). This is what it costs to service a listed security that already exists - the tokenized wrapper is incremental to this, not a replacement for it</t>
        </is>
      </c>
    </row>
    <row r="64" ht="16" customHeight="1">
      <c r="A64" s="4" t="inlineStr">
        <is>
          <t>6.  MIX DRIVERS - STRAIGHT-LINE 2026 TO 2035</t>
        </is>
      </c>
      <c r="B64" s="5" t="n"/>
      <c r="C64" s="5" t="n"/>
      <c r="D64" s="5" t="n"/>
      <c r="E64" s="5" t="n"/>
      <c r="F64" s="5" t="n"/>
      <c r="G64" s="5" t="n"/>
      <c r="H64" s="5" t="n"/>
    </row>
    <row r="65">
      <c r="A65" s="23" t="inlineStr">
        <is>
          <t>These are forecasts. Each is bracketed by the sourced anchors above and each is listed on the Audit tab.</t>
        </is>
      </c>
    </row>
    <row r="66">
      <c r="A66" s="14" t="inlineStr">
        <is>
          <t>Driver</t>
        </is>
      </c>
      <c r="B66" s="17" t="inlineStr">
        <is>
          <t>2026</t>
        </is>
      </c>
      <c r="C66" s="17" t="inlineStr">
        <is>
          <t>2035</t>
        </is>
      </c>
      <c r="D66" s="17" t="inlineStr">
        <is>
          <t>Status</t>
        </is>
      </c>
      <c r="E66" s="17" t="inlineStr">
        <is>
          <t>Src</t>
        </is>
      </c>
      <c r="F66" s="17" t="inlineStr">
        <is>
          <t>Link</t>
        </is>
      </c>
      <c r="G66" s="14" t="inlineStr">
        <is>
          <t>Basis</t>
        </is>
      </c>
    </row>
    <row r="67" ht="26" customHeight="1">
      <c r="A67" s="9" t="inlineStr">
        <is>
          <t>Share of tokenized volume on crypto-venue fee terms</t>
        </is>
      </c>
      <c r="B67" s="26" t="n">
        <v>0.9</v>
      </c>
      <c r="C67" s="26" t="n">
        <v>0.3</v>
      </c>
      <c r="D67" s="19" t="inlineStr">
        <is>
          <t>FORECAST</t>
        </is>
      </c>
      <c r="G67" s="20" t="inlineStr">
        <is>
          <t>Blends the two trading anchors. Today's tokenized equity volume sits almost entirely on crypto venues; DTCC's onshore rail pulls it toward equity fee conventions</t>
        </is>
      </c>
    </row>
    <row r="68" ht="26" customHeight="1">
      <c r="A68" s="9" t="inlineStr">
        <is>
          <t>Tokenized turnover as % of US equity turnover</t>
        </is>
      </c>
      <c r="B68" s="26" t="n">
        <v>0.2</v>
      </c>
      <c r="C68" s="26" t="n">
        <v>1</v>
      </c>
      <c r="D68" s="19" t="inlineStr">
        <is>
          <t>FORECAST</t>
        </is>
      </c>
      <c r="G68" s="20" t="inlineStr">
        <is>
          <t>Tokenized names trade thinner than their underlyings today, converging as the wrapper matures and 24/7 access adds sessions</t>
        </is>
      </c>
    </row>
    <row r="69" ht="26" customHeight="1">
      <c r="A69" s="9" t="inlineStr">
        <is>
          <t>Lendable share of tokenized market cap</t>
        </is>
      </c>
      <c r="B69" s="26" t="n">
        <v>0.3</v>
      </c>
      <c r="C69" s="26" t="n">
        <v>0.8</v>
      </c>
      <c r="D69" s="19" t="inlineStr">
        <is>
          <t>FORECAST</t>
        </is>
      </c>
      <c r="G69" s="20" t="inlineStr">
        <is>
          <t>Applied to the sourced 6.96% utilisation. Tokenized holdings are held in programmable custody, so a higher share is lending-enabled than in the traditional market</t>
        </is>
      </c>
    </row>
    <row r="70" ht="26" customHeight="1">
      <c r="A70" s="9" t="inlineStr">
        <is>
          <t>Share of tokenized market cap in institutional custody</t>
        </is>
      </c>
      <c r="B70" s="26" t="n">
        <v>0.3</v>
      </c>
      <c r="C70" s="26" t="n">
        <v>0.65</v>
      </c>
      <c r="D70" s="19" t="inlineStr">
        <is>
          <t>FORECAST</t>
        </is>
      </c>
      <c r="G70" s="20" t="inlineStr">
        <is>
          <t>The DTCC rail is institution-facing by construction; the offshore rails are retail-facing</t>
        </is>
      </c>
    </row>
    <row r="71" ht="26" customHeight="1">
      <c r="A71" s="9" t="inlineStr">
        <is>
          <t>Digital custody fee premium over BNY rate</t>
        </is>
      </c>
      <c r="B71" s="21" t="n">
        <v>6</v>
      </c>
      <c r="C71" s="21" t="n">
        <v>2</v>
      </c>
      <c r="D71" s="19" t="inlineStr">
        <is>
          <t>FORECAST</t>
        </is>
      </c>
      <c r="G71" s="20" t="inlineStr">
        <is>
          <t>Digital-asset custody prices above traditional custody today and compresses toward it. Applied to the disclosed 1.72bps BNY yield</t>
        </is>
      </c>
    </row>
    <row r="72" ht="26" customHeight="1">
      <c r="A72" s="9" t="inlineStr">
        <is>
          <t>Tokenization + servicing yield applied (bps)</t>
        </is>
      </c>
      <c r="B72" s="21" t="n">
        <v>20</v>
      </c>
      <c r="C72" s="21" t="n">
        <v>5</v>
      </c>
      <c r="D72" s="19" t="inlineStr">
        <is>
          <t>FORECAST</t>
        </is>
      </c>
      <c r="G72" s="20" t="inlineStr">
        <is>
          <t>Sits between the two sourced bookends above: DTCC's 0.066bps utility rate for servicing an already-listed security, and Securitize's 134bps full-service fund tokenization rate. Set near the low end because a tokenized listed equity is a wrapper on a security that is already issued, custodied and transfer-agented - and because no tokenized equity platform currently publishes an explicit servicing fee. Ondo, the largest at over $1bn TVL across 440+ listings, discloses none and monetises through spread, which this model already captures in pool 1</t>
        </is>
      </c>
    </row>
  </sheetData>
  <mergeCells count="5">
    <mergeCell ref="A1:H1"/>
    <mergeCell ref="A2:H2"/>
    <mergeCell ref="A34:G34"/>
    <mergeCell ref="A15:G15"/>
    <mergeCell ref="A65:G65"/>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7"/>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ht="22" customHeight="1">
      <c r="A1" s="1" t="inlineStr">
        <is>
          <t>Penetration Engine</t>
        </is>
      </c>
    </row>
    <row r="2" ht="15" customHeight="1">
      <c r="A2" s="3" t="inlineStr">
        <is>
          <t>Logistic adoption curve forced through the observed 2026 on-chain base. Type into the override rows to impose your own path; blank cells keep the curve.</t>
        </is>
      </c>
    </row>
    <row r="4" ht="16" customHeight="1">
      <c r="A4" s="4" t="inlineStr">
        <is>
          <t>CURVE FORM</t>
        </is>
      </c>
      <c r="B4" s="5" t="n"/>
      <c r="C4" s="5" t="n"/>
      <c r="D4" s="5" t="n"/>
      <c r="E4" s="5" t="n"/>
      <c r="F4" s="5" t="n"/>
      <c r="G4" s="5" t="n"/>
      <c r="H4" s="5" t="n"/>
      <c r="I4" s="5" t="n"/>
      <c r="J4" s="5" t="n"/>
      <c r="K4" s="5" t="n"/>
      <c r="L4" s="5" t="n"/>
    </row>
    <row r="5" ht="28" customHeight="1">
      <c r="A5" s="23" t="inlineStr">
        <is>
          <t>P(t) = L / (1 + EXP(-k(t - t0))).  L is the terminal ceiling, k the steepness, t0 the inflection year.  t0 is not an input: it is solved so that the curve passes exactly through the observed 2026 penetration.  t0 = 2026 + LN(L/P0 - 1)/k.</t>
        </is>
      </c>
    </row>
    <row r="7">
      <c r="A7" s="9" t="inlineStr">
        <is>
          <t>Observed 2026 penetration, Russell 1000 (P0)</t>
        </is>
      </c>
      <c r="B7" s="32">
        <f>Inputs!B31</f>
        <v/>
      </c>
    </row>
    <row r="8">
      <c r="A8" s="9" t="inlineStr">
        <is>
          <t>Solved inflection year, Russell 1000 (t0)</t>
        </is>
      </c>
      <c r="B8" s="33">
        <f>2026+LN(Inputs!B38/B7-1)/Inputs!B41</f>
        <v/>
      </c>
    </row>
    <row r="10" ht="16" customHeight="1">
      <c r="A10" s="4" t="inlineStr">
        <is>
          <t>MODELLED PENETRATION (% OF SEGMENT MARKET CAP)</t>
        </is>
      </c>
      <c r="B10" s="5" t="n"/>
      <c r="C10" s="5" t="n"/>
      <c r="D10" s="5" t="n"/>
      <c r="E10" s="5" t="n"/>
      <c r="F10" s="5" t="n"/>
      <c r="G10" s="5" t="n"/>
      <c r="H10" s="5" t="n"/>
      <c r="I10" s="5" t="n"/>
      <c r="J10" s="5" t="n"/>
      <c r="K10" s="5" t="n"/>
      <c r="L10" s="5" t="n"/>
    </row>
    <row r="11">
      <c r="A11" s="12" t="inlineStr">
        <is>
          <t>Segment</t>
        </is>
      </c>
      <c r="B11" s="12" t="inlineStr">
        <is>
          <t>Ceiling / lag</t>
        </is>
      </c>
      <c r="C11" s="34" t="n">
        <v>2026</v>
      </c>
      <c r="D11" s="34" t="n">
        <v>2027</v>
      </c>
      <c r="E11" s="34" t="n">
        <v>2028</v>
      </c>
      <c r="F11" s="34" t="n">
        <v>2029</v>
      </c>
      <c r="G11" s="34" t="n">
        <v>2030</v>
      </c>
      <c r="H11" s="34" t="n">
        <v>2031</v>
      </c>
      <c r="I11" s="34" t="n">
        <v>2032</v>
      </c>
      <c r="J11" s="34" t="n">
        <v>2033</v>
      </c>
      <c r="K11" s="34" t="n">
        <v>2034</v>
      </c>
      <c r="L11" s="34" t="n">
        <v>2035</v>
      </c>
    </row>
    <row r="12">
      <c r="A12" s="9" t="inlineStr">
        <is>
          <t>Russell 1000</t>
        </is>
      </c>
      <c r="B12" s="28">
        <f>Inputs!B38</f>
        <v/>
      </c>
      <c r="C12" s="35">
        <f>Inputs!$B$38/(1+EXP(-Inputs!$B$41*(2026-$B$8)))</f>
        <v/>
      </c>
      <c r="D12" s="35">
        <f>Inputs!$B$38/(1+EXP(-Inputs!$B$41*(2027-$B$8)))</f>
        <v/>
      </c>
      <c r="E12" s="35">
        <f>Inputs!$B$38/(1+EXP(-Inputs!$B$41*(2028-$B$8)))</f>
        <v/>
      </c>
      <c r="F12" s="35">
        <f>Inputs!$B$38/(1+EXP(-Inputs!$B$41*(2029-$B$8)))</f>
        <v/>
      </c>
      <c r="G12" s="35">
        <f>Inputs!$B$38/(1+EXP(-Inputs!$B$41*(2030-$B$8)))</f>
        <v/>
      </c>
      <c r="H12" s="35">
        <f>Inputs!$B$38/(1+EXP(-Inputs!$B$41*(2031-$B$8)))</f>
        <v/>
      </c>
      <c r="I12" s="35">
        <f>Inputs!$B$38/(1+EXP(-Inputs!$B$41*(2032-$B$8)))</f>
        <v/>
      </c>
      <c r="J12" s="35">
        <f>Inputs!$B$38/(1+EXP(-Inputs!$B$41*(2033-$B$8)))</f>
        <v/>
      </c>
      <c r="K12" s="35">
        <f>Inputs!$B$38/(1+EXP(-Inputs!$B$41*(2034-$B$8)))</f>
        <v/>
      </c>
      <c r="L12" s="35">
        <f>Inputs!$B$38/(1+EXP(-Inputs!$B$41*(2035-$B$8)))</f>
        <v/>
      </c>
    </row>
    <row r="13">
      <c r="A13" s="9" t="inlineStr">
        <is>
          <t>Russell 2000</t>
        </is>
      </c>
      <c r="B13" s="28">
        <f>Inputs!B39</f>
        <v/>
      </c>
      <c r="C13" s="35">
        <f>Inputs!$B$39/(1+EXP(-Inputs!$B$41*(2026-$B$8-Inputs!$B$42)))</f>
        <v/>
      </c>
      <c r="D13" s="35">
        <f>Inputs!$B$39/(1+EXP(-Inputs!$B$41*(2027-$B$8-Inputs!$B$42)))</f>
        <v/>
      </c>
      <c r="E13" s="35">
        <f>Inputs!$B$39/(1+EXP(-Inputs!$B$41*(2028-$B$8-Inputs!$B$42)))</f>
        <v/>
      </c>
      <c r="F13" s="35">
        <f>Inputs!$B$39/(1+EXP(-Inputs!$B$41*(2029-$B$8-Inputs!$B$42)))</f>
        <v/>
      </c>
      <c r="G13" s="35">
        <f>Inputs!$B$39/(1+EXP(-Inputs!$B$41*(2030-$B$8-Inputs!$B$42)))</f>
        <v/>
      </c>
      <c r="H13" s="35">
        <f>Inputs!$B$39/(1+EXP(-Inputs!$B$41*(2031-$B$8-Inputs!$B$42)))</f>
        <v/>
      </c>
      <c r="I13" s="35">
        <f>Inputs!$B$39/(1+EXP(-Inputs!$B$41*(2032-$B$8-Inputs!$B$42)))</f>
        <v/>
      </c>
      <c r="J13" s="35">
        <f>Inputs!$B$39/(1+EXP(-Inputs!$B$41*(2033-$B$8-Inputs!$B$42)))</f>
        <v/>
      </c>
      <c r="K13" s="35">
        <f>Inputs!$B$39/(1+EXP(-Inputs!$B$41*(2034-$B$8-Inputs!$B$42)))</f>
        <v/>
      </c>
      <c r="L13" s="35">
        <f>Inputs!$B$39/(1+EXP(-Inputs!$B$41*(2035-$B$8-Inputs!$B$42)))</f>
        <v/>
      </c>
    </row>
    <row r="14">
      <c r="A14" s="9" t="inlineStr">
        <is>
          <t>Other listed</t>
        </is>
      </c>
      <c r="B14" s="28">
        <f>Inputs!B40</f>
        <v/>
      </c>
      <c r="C14" s="35">
        <f>Inputs!$B$40/(1+EXP(-Inputs!$B$41*(2026-$B$8-Inputs!$B$43)))</f>
        <v/>
      </c>
      <c r="D14" s="35">
        <f>Inputs!$B$40/(1+EXP(-Inputs!$B$41*(2027-$B$8-Inputs!$B$43)))</f>
        <v/>
      </c>
      <c r="E14" s="35">
        <f>Inputs!$B$40/(1+EXP(-Inputs!$B$41*(2028-$B$8-Inputs!$B$43)))</f>
        <v/>
      </c>
      <c r="F14" s="35">
        <f>Inputs!$B$40/(1+EXP(-Inputs!$B$41*(2029-$B$8-Inputs!$B$43)))</f>
        <v/>
      </c>
      <c r="G14" s="35">
        <f>Inputs!$B$40/(1+EXP(-Inputs!$B$41*(2030-$B$8-Inputs!$B$43)))</f>
        <v/>
      </c>
      <c r="H14" s="35">
        <f>Inputs!$B$40/(1+EXP(-Inputs!$B$41*(2031-$B$8-Inputs!$B$43)))</f>
        <v/>
      </c>
      <c r="I14" s="35">
        <f>Inputs!$B$40/(1+EXP(-Inputs!$B$41*(2032-$B$8-Inputs!$B$43)))</f>
        <v/>
      </c>
      <c r="J14" s="35">
        <f>Inputs!$B$40/(1+EXP(-Inputs!$B$41*(2033-$B$8-Inputs!$B$43)))</f>
        <v/>
      </c>
      <c r="K14" s="35">
        <f>Inputs!$B$40/(1+EXP(-Inputs!$B$41*(2034-$B$8-Inputs!$B$43)))</f>
        <v/>
      </c>
      <c r="L14" s="35">
        <f>Inputs!$B$40/(1+EXP(-Inputs!$B$41*(2035-$B$8-Inputs!$B$43)))</f>
        <v/>
      </c>
    </row>
    <row r="16" ht="16" customHeight="1">
      <c r="A16" s="4" t="inlineStr">
        <is>
          <t>OVERRIDE - TYPE A PENETRATION RATE HERE TO REPLACE THE CURVE</t>
        </is>
      </c>
      <c r="B16" s="5" t="n"/>
      <c r="C16" s="5" t="n"/>
      <c r="D16" s="5" t="n"/>
      <c r="E16" s="5" t="n"/>
      <c r="F16" s="5" t="n"/>
      <c r="G16" s="5" t="n"/>
      <c r="H16" s="5" t="n"/>
      <c r="I16" s="5" t="n"/>
      <c r="J16" s="5" t="n"/>
      <c r="K16" s="5" t="n"/>
      <c r="L16" s="5" t="n"/>
    </row>
    <row r="17">
      <c r="A17" s="36" t="inlineStr">
        <is>
          <t>Any cell you fill overrides the modelled curve for that segment and year. Leave blank to keep the curve.</t>
        </is>
      </c>
    </row>
    <row r="18">
      <c r="A18" s="9" t="inlineStr">
        <is>
          <t>Russell 1000 override</t>
        </is>
      </c>
      <c r="C18" s="37" t="n"/>
      <c r="D18" s="37" t="n"/>
      <c r="E18" s="37" t="n"/>
      <c r="F18" s="37" t="n"/>
      <c r="G18" s="37" t="n"/>
      <c r="H18" s="37" t="n"/>
      <c r="I18" s="37" t="n"/>
      <c r="J18" s="37" t="n"/>
      <c r="K18" s="37" t="n"/>
      <c r="L18" s="37" t="n"/>
    </row>
    <row r="19">
      <c r="A19" s="9" t="inlineStr">
        <is>
          <t>Russell 2000 override</t>
        </is>
      </c>
      <c r="C19" s="37" t="n"/>
      <c r="D19" s="37" t="n"/>
      <c r="E19" s="37" t="n"/>
      <c r="F19" s="37" t="n"/>
      <c r="G19" s="37" t="n"/>
      <c r="H19" s="37" t="n"/>
      <c r="I19" s="37" t="n"/>
      <c r="J19" s="37" t="n"/>
      <c r="K19" s="37" t="n"/>
      <c r="L19" s="37" t="n"/>
    </row>
    <row r="20">
      <c r="A20" s="9" t="inlineStr">
        <is>
          <t>Other listed override</t>
        </is>
      </c>
      <c r="C20" s="37" t="n"/>
      <c r="D20" s="37" t="n"/>
      <c r="E20" s="37" t="n"/>
      <c r="F20" s="37" t="n"/>
      <c r="G20" s="37" t="n"/>
      <c r="H20" s="37" t="n"/>
      <c r="I20" s="37" t="n"/>
      <c r="J20" s="37" t="n"/>
      <c r="K20" s="37" t="n"/>
      <c r="L20" s="37" t="n"/>
    </row>
    <row r="22" ht="16" customHeight="1">
      <c r="A22" s="4" t="inlineStr">
        <is>
          <t>ACTIVE PENETRATION - USED BY THE PROJECTION</t>
        </is>
      </c>
      <c r="B22" s="5" t="n"/>
      <c r="C22" s="5" t="n"/>
      <c r="D22" s="5" t="n"/>
      <c r="E22" s="5" t="n"/>
      <c r="F22" s="5" t="n"/>
      <c r="G22" s="5" t="n"/>
      <c r="H22" s="5" t="n"/>
      <c r="I22" s="5" t="n"/>
      <c r="J22" s="5" t="n"/>
      <c r="K22" s="5" t="n"/>
      <c r="L22" s="5" t="n"/>
    </row>
    <row r="23">
      <c r="A23" s="15" t="inlineStr">
        <is>
          <t>Russell 1000</t>
        </is>
      </c>
      <c r="C23" s="35">
        <f>IF(C18="",C12,C18)</f>
        <v/>
      </c>
      <c r="D23" s="35">
        <f>IF(D18="",D12,D18)</f>
        <v/>
      </c>
      <c r="E23" s="35">
        <f>IF(E18="",E12,E18)</f>
        <v/>
      </c>
      <c r="F23" s="35">
        <f>IF(F18="",F12,F18)</f>
        <v/>
      </c>
      <c r="G23" s="35">
        <f>IF(G18="",G12,G18)</f>
        <v/>
      </c>
      <c r="H23" s="35">
        <f>IF(H18="",H12,H18)</f>
        <v/>
      </c>
      <c r="I23" s="35">
        <f>IF(I18="",I12,I18)</f>
        <v/>
      </c>
      <c r="J23" s="35">
        <f>IF(J18="",J12,J18)</f>
        <v/>
      </c>
      <c r="K23" s="35">
        <f>IF(K18="",K12,K18)</f>
        <v/>
      </c>
      <c r="L23" s="35">
        <f>IF(L18="",L12,L18)</f>
        <v/>
      </c>
    </row>
    <row r="24">
      <c r="A24" s="15" t="inlineStr">
        <is>
          <t>Russell 2000</t>
        </is>
      </c>
      <c r="C24" s="35">
        <f>IF(C19="",C13,C19)</f>
        <v/>
      </c>
      <c r="D24" s="35">
        <f>IF(D19="",D13,D19)</f>
        <v/>
      </c>
      <c r="E24" s="35">
        <f>IF(E19="",E13,E19)</f>
        <v/>
      </c>
      <c r="F24" s="35">
        <f>IF(F19="",F13,F19)</f>
        <v/>
      </c>
      <c r="G24" s="35">
        <f>IF(G19="",G13,G19)</f>
        <v/>
      </c>
      <c r="H24" s="35">
        <f>IF(H19="",H13,H19)</f>
        <v/>
      </c>
      <c r="I24" s="35">
        <f>IF(I19="",I13,I19)</f>
        <v/>
      </c>
      <c r="J24" s="35">
        <f>IF(J19="",J13,J19)</f>
        <v/>
      </c>
      <c r="K24" s="35">
        <f>IF(K19="",K13,K19)</f>
        <v/>
      </c>
      <c r="L24" s="35">
        <f>IF(L19="",L13,L19)</f>
        <v/>
      </c>
    </row>
    <row r="25">
      <c r="A25" s="15" t="inlineStr">
        <is>
          <t>Other listed</t>
        </is>
      </c>
      <c r="C25" s="35">
        <f>IF(C20="",C14,C20)</f>
        <v/>
      </c>
      <c r="D25" s="35">
        <f>IF(D20="",D14,D20)</f>
        <v/>
      </c>
      <c r="E25" s="35">
        <f>IF(E20="",E14,E20)</f>
        <v/>
      </c>
      <c r="F25" s="35">
        <f>IF(F20="",F14,F20)</f>
        <v/>
      </c>
      <c r="G25" s="35">
        <f>IF(G20="",G14,G20)</f>
        <v/>
      </c>
      <c r="H25" s="35">
        <f>IF(H20="",H14,H20)</f>
        <v/>
      </c>
      <c r="I25" s="35">
        <f>IF(I20="",I14,I20)</f>
        <v/>
      </c>
      <c r="J25" s="35">
        <f>IF(J20="",J14,J20)</f>
        <v/>
      </c>
      <c r="K25" s="35">
        <f>IF(K20="",K14,K20)</f>
        <v/>
      </c>
      <c r="L25" s="35">
        <f>IF(L20="",L14,L20)</f>
        <v/>
      </c>
    </row>
    <row r="27">
      <c r="A27" s="9" t="inlineStr">
        <is>
          <t>Overrides active</t>
        </is>
      </c>
      <c r="C27" s="38">
        <f>COUNTIF(C18:C20,"&lt;&gt;")</f>
        <v/>
      </c>
      <c r="D27" s="38">
        <f>COUNTIF(D18:D20,"&lt;&gt;")</f>
        <v/>
      </c>
      <c r="E27" s="38">
        <f>COUNTIF(E18:E20,"&lt;&gt;")</f>
        <v/>
      </c>
      <c r="F27" s="38">
        <f>COUNTIF(F18:F20,"&lt;&gt;")</f>
        <v/>
      </c>
      <c r="G27" s="38">
        <f>COUNTIF(G18:G20,"&lt;&gt;")</f>
        <v/>
      </c>
      <c r="H27" s="38">
        <f>COUNTIF(H18:H20,"&lt;&gt;")</f>
        <v/>
      </c>
      <c r="I27" s="38">
        <f>COUNTIF(I18:I20,"&lt;&gt;")</f>
        <v/>
      </c>
      <c r="J27" s="38">
        <f>COUNTIF(J18:J20,"&lt;&gt;")</f>
        <v/>
      </c>
      <c r="K27" s="38">
        <f>COUNTIF(K18:K20,"&lt;&gt;")</f>
        <v/>
      </c>
      <c r="L27" s="38">
        <f>COUNTIF(L18:L20,"&lt;&gt;")</f>
        <v/>
      </c>
    </row>
  </sheetData>
  <mergeCells count="4">
    <mergeCell ref="A1:L1"/>
    <mergeCell ref="A2:L2"/>
    <mergeCell ref="A5:L5"/>
    <mergeCell ref="A17:L17"/>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39"/>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22" customHeight="1">
      <c r="A1" s="1" t="inlineStr">
        <is>
          <t>Projection</t>
        </is>
      </c>
    </row>
    <row r="2" ht="15" customHeight="1">
      <c r="A2" s="3" t="inlineStr">
        <is>
          <t>Tokenized US equity market capitalisation by segment, $Bn</t>
        </is>
      </c>
    </row>
    <row r="4" ht="16" customHeight="1">
      <c r="A4" s="4" t="inlineStr">
        <is>
          <t>SEGMENT MARKET CAP ($Bn)</t>
        </is>
      </c>
      <c r="B4" s="5" t="n"/>
      <c r="C4" s="5" t="n"/>
      <c r="D4" s="5" t="n"/>
      <c r="E4" s="5" t="n"/>
      <c r="F4" s="5" t="n"/>
      <c r="G4" s="5" t="n"/>
      <c r="H4" s="5" t="n"/>
      <c r="I4" s="5" t="n"/>
      <c r="J4" s="5" t="n"/>
      <c r="K4" s="5" t="n"/>
      <c r="L4" s="5" t="n"/>
    </row>
    <row r="5">
      <c r="A5" s="39" t="inlineStr"/>
      <c r="B5" s="39" t="inlineStr"/>
      <c r="C5" s="34" t="n">
        <v>2026</v>
      </c>
      <c r="D5" s="34" t="n">
        <v>2027</v>
      </c>
      <c r="E5" s="34" t="n">
        <v>2028</v>
      </c>
      <c r="F5" s="34" t="n">
        <v>2029</v>
      </c>
      <c r="G5" s="34" t="n">
        <v>2030</v>
      </c>
      <c r="H5" s="34" t="n">
        <v>2031</v>
      </c>
      <c r="I5" s="34" t="n">
        <v>2032</v>
      </c>
      <c r="J5" s="34" t="n">
        <v>2033</v>
      </c>
      <c r="K5" s="34" t="n">
        <v>2034</v>
      </c>
      <c r="L5" s="34" t="n">
        <v>2035</v>
      </c>
    </row>
    <row r="6">
      <c r="A6" s="9" t="inlineStr">
        <is>
          <t>Russell 1000</t>
        </is>
      </c>
      <c r="C6" s="40">
        <f>Inputs!B19</f>
        <v/>
      </c>
      <c r="D6" s="40">
        <f>C6*(1+Inputs!B44)</f>
        <v/>
      </c>
      <c r="E6" s="40">
        <f>D6*(1+Inputs!B44)</f>
        <v/>
      </c>
      <c r="F6" s="40">
        <f>E6*(1+Inputs!B44)</f>
        <v/>
      </c>
      <c r="G6" s="40">
        <f>F6*(1+Inputs!B44)</f>
        <v/>
      </c>
      <c r="H6" s="40">
        <f>G6*(1+Inputs!B44)</f>
        <v/>
      </c>
      <c r="I6" s="40">
        <f>H6*(1+Inputs!B44)</f>
        <v/>
      </c>
      <c r="J6" s="40">
        <f>I6*(1+Inputs!B44)</f>
        <v/>
      </c>
      <c r="K6" s="40">
        <f>J6*(1+Inputs!B44)</f>
        <v/>
      </c>
      <c r="L6" s="40">
        <f>K6*(1+Inputs!B44)</f>
        <v/>
      </c>
    </row>
    <row r="7">
      <c r="A7" s="9" t="inlineStr">
        <is>
          <t>Russell 2000</t>
        </is>
      </c>
      <c r="C7" s="40">
        <f>Inputs!B18</f>
        <v/>
      </c>
      <c r="D7" s="40">
        <f>C7*(1+Inputs!B44)</f>
        <v/>
      </c>
      <c r="E7" s="40">
        <f>D7*(1+Inputs!B44)</f>
        <v/>
      </c>
      <c r="F7" s="40">
        <f>E7*(1+Inputs!B44)</f>
        <v/>
      </c>
      <c r="G7" s="40">
        <f>F7*(1+Inputs!B44)</f>
        <v/>
      </c>
      <c r="H7" s="40">
        <f>G7*(1+Inputs!B44)</f>
        <v/>
      </c>
      <c r="I7" s="40">
        <f>H7*(1+Inputs!B44)</f>
        <v/>
      </c>
      <c r="J7" s="40">
        <f>I7*(1+Inputs!B44)</f>
        <v/>
      </c>
      <c r="K7" s="40">
        <f>J7*(1+Inputs!B44)</f>
        <v/>
      </c>
      <c r="L7" s="40">
        <f>K7*(1+Inputs!B44)</f>
        <v/>
      </c>
    </row>
    <row r="8">
      <c r="A8" s="9" t="inlineStr">
        <is>
          <t>Other listed</t>
        </is>
      </c>
      <c r="C8" s="40">
        <f>Inputs!B20</f>
        <v/>
      </c>
      <c r="D8" s="40">
        <f>C8*(1+Inputs!B44)</f>
        <v/>
      </c>
      <c r="E8" s="40">
        <f>D8*(1+Inputs!B44)</f>
        <v/>
      </c>
      <c r="F8" s="40">
        <f>E8*(1+Inputs!B44)</f>
        <v/>
      </c>
      <c r="G8" s="40">
        <f>F8*(1+Inputs!B44)</f>
        <v/>
      </c>
      <c r="H8" s="40">
        <f>G8*(1+Inputs!B44)</f>
        <v/>
      </c>
      <c r="I8" s="40">
        <f>H8*(1+Inputs!B44)</f>
        <v/>
      </c>
      <c r="J8" s="40">
        <f>I8*(1+Inputs!B44)</f>
        <v/>
      </c>
      <c r="K8" s="40">
        <f>J8*(1+Inputs!B44)</f>
        <v/>
      </c>
      <c r="L8" s="40">
        <f>K8*(1+Inputs!B44)</f>
        <v/>
      </c>
    </row>
    <row r="9">
      <c r="A9" s="15" t="inlineStr">
        <is>
          <t>Total US equity market cap</t>
        </is>
      </c>
      <c r="C9" s="41">
        <f>SUM(C6:C8)</f>
        <v/>
      </c>
      <c r="D9" s="41">
        <f>SUM(D6:D8)</f>
        <v/>
      </c>
      <c r="E9" s="41">
        <f>SUM(E6:E8)</f>
        <v/>
      </c>
      <c r="F9" s="41">
        <f>SUM(F6:F8)</f>
        <v/>
      </c>
      <c r="G9" s="41">
        <f>SUM(G6:G8)</f>
        <v/>
      </c>
      <c r="H9" s="41">
        <f>SUM(H6:H8)</f>
        <v/>
      </c>
      <c r="I9" s="41">
        <f>SUM(I6:I8)</f>
        <v/>
      </c>
      <c r="J9" s="41">
        <f>SUM(J6:J8)</f>
        <v/>
      </c>
      <c r="K9" s="41">
        <f>SUM(K6:K8)</f>
        <v/>
      </c>
      <c r="L9" s="41">
        <f>SUM(L6:L8)</f>
        <v/>
      </c>
    </row>
    <row r="11" ht="16" customHeight="1">
      <c r="A11" s="4" t="inlineStr">
        <is>
          <t>PENETRATION (% OF SEGMENT MARKET CAP)</t>
        </is>
      </c>
      <c r="B11" s="5" t="n"/>
      <c r="C11" s="5" t="n"/>
      <c r="D11" s="5" t="n"/>
      <c r="E11" s="5" t="n"/>
      <c r="F11" s="5" t="n"/>
      <c r="G11" s="5" t="n"/>
      <c r="H11" s="5" t="n"/>
      <c r="I11" s="5" t="n"/>
      <c r="J11" s="5" t="n"/>
      <c r="K11" s="5" t="n"/>
      <c r="L11" s="5" t="n"/>
    </row>
    <row r="12">
      <c r="A12" s="39" t="inlineStr"/>
      <c r="B12" s="39" t="inlineStr"/>
      <c r="C12" s="34" t="n">
        <v>2026</v>
      </c>
      <c r="D12" s="34" t="n">
        <v>2027</v>
      </c>
      <c r="E12" s="34" t="n">
        <v>2028</v>
      </c>
      <c r="F12" s="34" t="n">
        <v>2029</v>
      </c>
      <c r="G12" s="34" t="n">
        <v>2030</v>
      </c>
      <c r="H12" s="34" t="n">
        <v>2031</v>
      </c>
      <c r="I12" s="34" t="n">
        <v>2032</v>
      </c>
      <c r="J12" s="34" t="n">
        <v>2033</v>
      </c>
      <c r="K12" s="34" t="n">
        <v>2034</v>
      </c>
      <c r="L12" s="34" t="n">
        <v>2035</v>
      </c>
    </row>
    <row r="13">
      <c r="A13" s="9" t="inlineStr">
        <is>
          <t>Russell 1000</t>
        </is>
      </c>
      <c r="C13" s="35">
        <f>Penetration!C23</f>
        <v/>
      </c>
      <c r="D13" s="35">
        <f>Penetration!D23</f>
        <v/>
      </c>
      <c r="E13" s="35">
        <f>Penetration!E23</f>
        <v/>
      </c>
      <c r="F13" s="35">
        <f>Penetration!F23</f>
        <v/>
      </c>
      <c r="G13" s="35">
        <f>Penetration!G23</f>
        <v/>
      </c>
      <c r="H13" s="35">
        <f>Penetration!H23</f>
        <v/>
      </c>
      <c r="I13" s="35">
        <f>Penetration!I23</f>
        <v/>
      </c>
      <c r="J13" s="35">
        <f>Penetration!J23</f>
        <v/>
      </c>
      <c r="K13" s="35">
        <f>Penetration!K23</f>
        <v/>
      </c>
      <c r="L13" s="35">
        <f>Penetration!L23</f>
        <v/>
      </c>
    </row>
    <row r="14">
      <c r="A14" s="9" t="inlineStr">
        <is>
          <t>Russell 2000</t>
        </is>
      </c>
      <c r="C14" s="35">
        <f>Penetration!C24</f>
        <v/>
      </c>
      <c r="D14" s="35">
        <f>Penetration!D24</f>
        <v/>
      </c>
      <c r="E14" s="35">
        <f>Penetration!E24</f>
        <v/>
      </c>
      <c r="F14" s="35">
        <f>Penetration!F24</f>
        <v/>
      </c>
      <c r="G14" s="35">
        <f>Penetration!G24</f>
        <v/>
      </c>
      <c r="H14" s="35">
        <f>Penetration!H24</f>
        <v/>
      </c>
      <c r="I14" s="35">
        <f>Penetration!I24</f>
        <v/>
      </c>
      <c r="J14" s="35">
        <f>Penetration!J24</f>
        <v/>
      </c>
      <c r="K14" s="35">
        <f>Penetration!K24</f>
        <v/>
      </c>
      <c r="L14" s="35">
        <f>Penetration!L24</f>
        <v/>
      </c>
    </row>
    <row r="15">
      <c r="A15" s="9" t="inlineStr">
        <is>
          <t>Other listed</t>
        </is>
      </c>
      <c r="C15" s="35">
        <f>Penetration!C25</f>
        <v/>
      </c>
      <c r="D15" s="35">
        <f>Penetration!D25</f>
        <v/>
      </c>
      <c r="E15" s="35">
        <f>Penetration!E25</f>
        <v/>
      </c>
      <c r="F15" s="35">
        <f>Penetration!F25</f>
        <v/>
      </c>
      <c r="G15" s="35">
        <f>Penetration!G25</f>
        <v/>
      </c>
      <c r="H15" s="35">
        <f>Penetration!H25</f>
        <v/>
      </c>
      <c r="I15" s="35">
        <f>Penetration!I25</f>
        <v/>
      </c>
      <c r="J15" s="35">
        <f>Penetration!J25</f>
        <v/>
      </c>
      <c r="K15" s="35">
        <f>Penetration!K25</f>
        <v/>
      </c>
      <c r="L15" s="35">
        <f>Penetration!L25</f>
        <v/>
      </c>
    </row>
    <row r="17" ht="16" customHeight="1">
      <c r="A17" s="4" t="inlineStr">
        <is>
          <t>TOKENIZED MARKET CAP ($Bn)</t>
        </is>
      </c>
      <c r="B17" s="5" t="n"/>
      <c r="C17" s="5" t="n"/>
      <c r="D17" s="5" t="n"/>
      <c r="E17" s="5" t="n"/>
      <c r="F17" s="5" t="n"/>
      <c r="G17" s="5" t="n"/>
      <c r="H17" s="5" t="n"/>
      <c r="I17" s="5" t="n"/>
      <c r="J17" s="5" t="n"/>
      <c r="K17" s="5" t="n"/>
      <c r="L17" s="5" t="n"/>
    </row>
    <row r="18">
      <c r="A18" s="39" t="inlineStr"/>
      <c r="B18" s="39" t="inlineStr"/>
      <c r="C18" s="34" t="n">
        <v>2026</v>
      </c>
      <c r="D18" s="34" t="n">
        <v>2027</v>
      </c>
      <c r="E18" s="34" t="n">
        <v>2028</v>
      </c>
      <c r="F18" s="34" t="n">
        <v>2029</v>
      </c>
      <c r="G18" s="34" t="n">
        <v>2030</v>
      </c>
      <c r="H18" s="34" t="n">
        <v>2031</v>
      </c>
      <c r="I18" s="34" t="n">
        <v>2032</v>
      </c>
      <c r="J18" s="34" t="n">
        <v>2033</v>
      </c>
      <c r="K18" s="34" t="n">
        <v>2034</v>
      </c>
      <c r="L18" s="34" t="n">
        <v>2035</v>
      </c>
    </row>
    <row r="19">
      <c r="A19" s="9" t="inlineStr">
        <is>
          <t>Russell 1000</t>
        </is>
      </c>
      <c r="C19" s="42">
        <f>C6*C13</f>
        <v/>
      </c>
      <c r="D19" s="42">
        <f>D6*D13</f>
        <v/>
      </c>
      <c r="E19" s="42">
        <f>E6*E13</f>
        <v/>
      </c>
      <c r="F19" s="42">
        <f>F6*F13</f>
        <v/>
      </c>
      <c r="G19" s="42">
        <f>G6*G13</f>
        <v/>
      </c>
      <c r="H19" s="42">
        <f>H6*H13</f>
        <v/>
      </c>
      <c r="I19" s="42">
        <f>I6*I13</f>
        <v/>
      </c>
      <c r="J19" s="42">
        <f>J6*J13</f>
        <v/>
      </c>
      <c r="K19" s="42">
        <f>K6*K13</f>
        <v/>
      </c>
      <c r="L19" s="42">
        <f>L6*L13</f>
        <v/>
      </c>
    </row>
    <row r="20">
      <c r="A20" s="9" t="inlineStr">
        <is>
          <t>Russell 2000</t>
        </is>
      </c>
      <c r="C20" s="42">
        <f>C7*C14</f>
        <v/>
      </c>
      <c r="D20" s="42">
        <f>D7*D14</f>
        <v/>
      </c>
      <c r="E20" s="42">
        <f>E7*E14</f>
        <v/>
      </c>
      <c r="F20" s="42">
        <f>F7*F14</f>
        <v/>
      </c>
      <c r="G20" s="42">
        <f>G7*G14</f>
        <v/>
      </c>
      <c r="H20" s="42">
        <f>H7*H14</f>
        <v/>
      </c>
      <c r="I20" s="42">
        <f>I7*I14</f>
        <v/>
      </c>
      <c r="J20" s="42">
        <f>J7*J14</f>
        <v/>
      </c>
      <c r="K20" s="42">
        <f>K7*K14</f>
        <v/>
      </c>
      <c r="L20" s="42">
        <f>L7*L14</f>
        <v/>
      </c>
    </row>
    <row r="21">
      <c r="A21" s="9" t="inlineStr">
        <is>
          <t>Other listed</t>
        </is>
      </c>
      <c r="C21" s="42">
        <f>C8*C15</f>
        <v/>
      </c>
      <c r="D21" s="42">
        <f>D8*D15</f>
        <v/>
      </c>
      <c r="E21" s="42">
        <f>E8*E15</f>
        <v/>
      </c>
      <c r="F21" s="42">
        <f>F8*F15</f>
        <v/>
      </c>
      <c r="G21" s="42">
        <f>G8*G15</f>
        <v/>
      </c>
      <c r="H21" s="42">
        <f>H8*H15</f>
        <v/>
      </c>
      <c r="I21" s="42">
        <f>I8*I15</f>
        <v/>
      </c>
      <c r="J21" s="42">
        <f>J8*J15</f>
        <v/>
      </c>
      <c r="K21" s="42">
        <f>K8*K15</f>
        <v/>
      </c>
      <c r="L21" s="42">
        <f>L8*L15</f>
        <v/>
      </c>
    </row>
    <row r="22">
      <c r="A22" s="15" t="inlineStr">
        <is>
          <t>Total tokenized equity market cap</t>
        </is>
      </c>
      <c r="C22" s="41">
        <f>SUM(C19:C21)</f>
        <v/>
      </c>
      <c r="D22" s="41">
        <f>SUM(D19:D21)</f>
        <v/>
      </c>
      <c r="E22" s="41">
        <f>SUM(E19:E21)</f>
        <v/>
      </c>
      <c r="F22" s="41">
        <f>SUM(F19:F21)</f>
        <v/>
      </c>
      <c r="G22" s="41">
        <f>SUM(G19:G21)</f>
        <v/>
      </c>
      <c r="H22" s="41">
        <f>SUM(H19:H21)</f>
        <v/>
      </c>
      <c r="I22" s="41">
        <f>SUM(I19:I21)</f>
        <v/>
      </c>
      <c r="J22" s="41">
        <f>SUM(J19:J21)</f>
        <v/>
      </c>
      <c r="K22" s="41">
        <f>SUM(K19:K21)</f>
        <v/>
      </c>
      <c r="L22" s="41">
        <f>SUM(L19:L21)</f>
        <v/>
      </c>
    </row>
    <row r="23">
      <c r="A23" s="9" t="inlineStr">
        <is>
          <t>Blended penetration of US market cap</t>
        </is>
      </c>
      <c r="C23" s="35">
        <f>C22/C9</f>
        <v/>
      </c>
      <c r="D23" s="35">
        <f>D22/D9</f>
        <v/>
      </c>
      <c r="E23" s="35">
        <f>E22/E9</f>
        <v/>
      </c>
      <c r="F23" s="35">
        <f>F22/F9</f>
        <v/>
      </c>
      <c r="G23" s="35">
        <f>G22/G9</f>
        <v/>
      </c>
      <c r="H23" s="35">
        <f>H22/H9</f>
        <v/>
      </c>
      <c r="I23" s="35">
        <f>I22/I9</f>
        <v/>
      </c>
      <c r="J23" s="35">
        <f>J22/J9</f>
        <v/>
      </c>
      <c r="K23" s="35">
        <f>K22/K9</f>
        <v/>
      </c>
      <c r="L23" s="35">
        <f>L22/L9</f>
        <v/>
      </c>
    </row>
    <row r="24">
      <c r="A24" s="9" t="inlineStr">
        <is>
          <t>Y/Y growth in tokenized market cap</t>
        </is>
      </c>
      <c r="C24" s="9" t="inlineStr"/>
      <c r="D24" s="43">
        <f>D22/C22-1</f>
        <v/>
      </c>
      <c r="E24" s="43">
        <f>E22/D22-1</f>
        <v/>
      </c>
      <c r="F24" s="43">
        <f>F22/E22-1</f>
        <v/>
      </c>
      <c r="G24" s="43">
        <f>G22/F22-1</f>
        <v/>
      </c>
      <c r="H24" s="43">
        <f>H22/G22-1</f>
        <v/>
      </c>
      <c r="I24" s="43">
        <f>I22/H22-1</f>
        <v/>
      </c>
      <c r="J24" s="43">
        <f>J22/I22-1</f>
        <v/>
      </c>
      <c r="K24" s="43">
        <f>K22/J22-1</f>
        <v/>
      </c>
      <c r="L24" s="43">
        <f>L22/K22-1</f>
        <v/>
      </c>
    </row>
    <row r="26" ht="16" customHeight="1">
      <c r="A26" s="4" t="inlineStr">
        <is>
          <t>SEGMENT CONTRIBUTION (% OF TOKENIZED TOTAL)</t>
        </is>
      </c>
      <c r="B26" s="5" t="n"/>
      <c r="C26" s="5" t="n"/>
      <c r="D26" s="5" t="n"/>
      <c r="E26" s="5" t="n"/>
      <c r="F26" s="5" t="n"/>
      <c r="G26" s="5" t="n"/>
      <c r="H26" s="5" t="n"/>
      <c r="I26" s="5" t="n"/>
      <c r="J26" s="5" t="n"/>
      <c r="K26" s="5" t="n"/>
      <c r="L26" s="5" t="n"/>
    </row>
    <row r="27">
      <c r="A27" s="39" t="inlineStr"/>
      <c r="B27" s="39" t="inlineStr"/>
      <c r="C27" s="34" t="n">
        <v>2026</v>
      </c>
      <c r="D27" s="34" t="n">
        <v>2027</v>
      </c>
      <c r="E27" s="34" t="n">
        <v>2028</v>
      </c>
      <c r="F27" s="34" t="n">
        <v>2029</v>
      </c>
      <c r="G27" s="34" t="n">
        <v>2030</v>
      </c>
      <c r="H27" s="34" t="n">
        <v>2031</v>
      </c>
      <c r="I27" s="34" t="n">
        <v>2032</v>
      </c>
      <c r="J27" s="34" t="n">
        <v>2033</v>
      </c>
      <c r="K27" s="34" t="n">
        <v>2034</v>
      </c>
      <c r="L27" s="34" t="n">
        <v>2035</v>
      </c>
    </row>
    <row r="28">
      <c r="A28" s="9" t="inlineStr">
        <is>
          <t>Russell 1000</t>
        </is>
      </c>
      <c r="C28" s="43">
        <f>IFERROR(C19/C22,0)</f>
        <v/>
      </c>
      <c r="D28" s="43">
        <f>IFERROR(D19/D22,0)</f>
        <v/>
      </c>
      <c r="E28" s="43">
        <f>IFERROR(E19/E22,0)</f>
        <v/>
      </c>
      <c r="F28" s="43">
        <f>IFERROR(F19/F22,0)</f>
        <v/>
      </c>
      <c r="G28" s="43">
        <f>IFERROR(G19/G22,0)</f>
        <v/>
      </c>
      <c r="H28" s="43">
        <f>IFERROR(H19/H22,0)</f>
        <v/>
      </c>
      <c r="I28" s="43">
        <f>IFERROR(I19/I22,0)</f>
        <v/>
      </c>
      <c r="J28" s="43">
        <f>IFERROR(J19/J22,0)</f>
        <v/>
      </c>
      <c r="K28" s="43">
        <f>IFERROR(K19/K22,0)</f>
        <v/>
      </c>
      <c r="L28" s="43">
        <f>IFERROR(L19/L22,0)</f>
        <v/>
      </c>
    </row>
    <row r="29">
      <c r="A29" s="9" t="inlineStr">
        <is>
          <t>Russell 2000</t>
        </is>
      </c>
      <c r="C29" s="43">
        <f>IFERROR(C20/C22,0)</f>
        <v/>
      </c>
      <c r="D29" s="43">
        <f>IFERROR(D20/D22,0)</f>
        <v/>
      </c>
      <c r="E29" s="43">
        <f>IFERROR(E20/E22,0)</f>
        <v/>
      </c>
      <c r="F29" s="43">
        <f>IFERROR(F20/F22,0)</f>
        <v/>
      </c>
      <c r="G29" s="43">
        <f>IFERROR(G20/G22,0)</f>
        <v/>
      </c>
      <c r="H29" s="43">
        <f>IFERROR(H20/H22,0)</f>
        <v/>
      </c>
      <c r="I29" s="43">
        <f>IFERROR(I20/I22,0)</f>
        <v/>
      </c>
      <c r="J29" s="43">
        <f>IFERROR(J20/J22,0)</f>
        <v/>
      </c>
      <c r="K29" s="43">
        <f>IFERROR(K20/K22,0)</f>
        <v/>
      </c>
      <c r="L29" s="43">
        <f>IFERROR(L20/L22,0)</f>
        <v/>
      </c>
    </row>
    <row r="30">
      <c r="A30" s="9" t="inlineStr">
        <is>
          <t>Other listed</t>
        </is>
      </c>
      <c r="C30" s="43">
        <f>IFERROR(C21/C22,0)</f>
        <v/>
      </c>
      <c r="D30" s="43">
        <f>IFERROR(D21/D22,0)</f>
        <v/>
      </c>
      <c r="E30" s="43">
        <f>IFERROR(E21/E22,0)</f>
        <v/>
      </c>
      <c r="F30" s="43">
        <f>IFERROR(F21/F22,0)</f>
        <v/>
      </c>
      <c r="G30" s="43">
        <f>IFERROR(G21/G22,0)</f>
        <v/>
      </c>
      <c r="H30" s="43">
        <f>IFERROR(H21/H22,0)</f>
        <v/>
      </c>
      <c r="I30" s="43">
        <f>IFERROR(I21/I22,0)</f>
        <v/>
      </c>
      <c r="J30" s="43">
        <f>IFERROR(J21/J22,0)</f>
        <v/>
      </c>
      <c r="K30" s="43">
        <f>IFERROR(K21/K22,0)</f>
        <v/>
      </c>
      <c r="L30" s="43">
        <f>IFERROR(L21/L22,0)</f>
        <v/>
      </c>
    </row>
    <row r="32" ht="16" customHeight="1">
      <c r="A32" s="4" t="inlineStr">
        <is>
          <t>COVERAGE IDENTITY - HOW THE PENETRATION RATE DECOMPOSES</t>
        </is>
      </c>
      <c r="B32" s="5" t="n"/>
      <c r="C32" s="5" t="n"/>
      <c r="D32" s="5" t="n"/>
      <c r="E32" s="5" t="n"/>
      <c r="F32" s="5" t="n"/>
      <c r="G32" s="5" t="n"/>
      <c r="H32" s="5" t="n"/>
      <c r="I32" s="5" t="n"/>
      <c r="J32" s="5" t="n"/>
      <c r="K32" s="5" t="n"/>
      <c r="L32" s="5" t="n"/>
    </row>
    <row r="33" ht="46" customHeight="1">
      <c r="A33" s="23" t="inlineStr">
        <is>
          <t>Tokenization does not convert whole companies; it tokenizes a slice of a name's float. Penetration is therefore the product of how many names participate and how much of each one's float is tokenized. v6.1 multiplied a market-cap penetration rate by a company count, which silently treats every tokenized name as fully converted and produces an issuer count that cannot be right. The identity below is exact arithmetic: for a given number of participating Russell 1000 names, it reports the tokenized share of each participating name's float that the projection implies.</t>
        </is>
      </c>
    </row>
    <row r="34">
      <c r="A34" s="39" t="inlineStr"/>
      <c r="B34" s="39" t="inlineStr"/>
      <c r="C34" s="34" t="n">
        <v>2026</v>
      </c>
      <c r="D34" s="34" t="n">
        <v>2027</v>
      </c>
      <c r="E34" s="34" t="n">
        <v>2028</v>
      </c>
      <c r="F34" s="34" t="n">
        <v>2029</v>
      </c>
      <c r="G34" s="34" t="n">
        <v>2030</v>
      </c>
      <c r="H34" s="34" t="n">
        <v>2031</v>
      </c>
      <c r="I34" s="34" t="n">
        <v>2032</v>
      </c>
      <c r="J34" s="34" t="n">
        <v>2033</v>
      </c>
      <c r="K34" s="34" t="n">
        <v>2034</v>
      </c>
      <c r="L34" s="34" t="n">
        <v>2035</v>
      </c>
    </row>
    <row r="35">
      <c r="A35" s="9" t="inlineStr">
        <is>
          <t>If 100 Russell 1000 names participate, tokenized share of each name's float</t>
        </is>
      </c>
      <c r="C35" s="44">
        <f>C13*Inputs!$B$21/100</f>
        <v/>
      </c>
      <c r="D35" s="44">
        <f>D13*Inputs!$B$21/100</f>
        <v/>
      </c>
      <c r="E35" s="44">
        <f>E13*Inputs!$B$21/100</f>
        <v/>
      </c>
      <c r="F35" s="44">
        <f>F13*Inputs!$B$21/100</f>
        <v/>
      </c>
      <c r="G35" s="44">
        <f>G13*Inputs!$B$21/100</f>
        <v/>
      </c>
      <c r="H35" s="44">
        <f>H13*Inputs!$B$21/100</f>
        <v/>
      </c>
      <c r="I35" s="44">
        <f>I13*Inputs!$B$21/100</f>
        <v/>
      </c>
      <c r="J35" s="44">
        <f>J13*Inputs!$B$21/100</f>
        <v/>
      </c>
      <c r="K35" s="44">
        <f>K13*Inputs!$B$21/100</f>
        <v/>
      </c>
      <c r="L35" s="44">
        <f>L13*Inputs!$B$21/100</f>
        <v/>
      </c>
    </row>
    <row r="36">
      <c r="A36" s="9" t="inlineStr">
        <is>
          <t>If 250 Russell 1000 names participate, tokenized share of each name's float</t>
        </is>
      </c>
      <c r="C36" s="44">
        <f>C13*Inputs!$B$21/250</f>
        <v/>
      </c>
      <c r="D36" s="44">
        <f>D13*Inputs!$B$21/250</f>
        <v/>
      </c>
      <c r="E36" s="44">
        <f>E13*Inputs!$B$21/250</f>
        <v/>
      </c>
      <c r="F36" s="44">
        <f>F13*Inputs!$B$21/250</f>
        <v/>
      </c>
      <c r="G36" s="44">
        <f>G13*Inputs!$B$21/250</f>
        <v/>
      </c>
      <c r="H36" s="44">
        <f>H13*Inputs!$B$21/250</f>
        <v/>
      </c>
      <c r="I36" s="44">
        <f>I13*Inputs!$B$21/250</f>
        <v/>
      </c>
      <c r="J36" s="44">
        <f>J13*Inputs!$B$21/250</f>
        <v/>
      </c>
      <c r="K36" s="44">
        <f>K13*Inputs!$B$21/250</f>
        <v/>
      </c>
      <c r="L36" s="44">
        <f>L13*Inputs!$B$21/250</f>
        <v/>
      </c>
    </row>
    <row r="37">
      <c r="A37" s="9" t="inlineStr">
        <is>
          <t>If 500 Russell 1000 names participate, tokenized share of each name's float</t>
        </is>
      </c>
      <c r="C37" s="44">
        <f>C13*Inputs!$B$21/500</f>
        <v/>
      </c>
      <c r="D37" s="44">
        <f>D13*Inputs!$B$21/500</f>
        <v/>
      </c>
      <c r="E37" s="44">
        <f>E13*Inputs!$B$21/500</f>
        <v/>
      </c>
      <c r="F37" s="44">
        <f>F13*Inputs!$B$21/500</f>
        <v/>
      </c>
      <c r="G37" s="44">
        <f>G13*Inputs!$B$21/500</f>
        <v/>
      </c>
      <c r="H37" s="44">
        <f>H13*Inputs!$B$21/500</f>
        <v/>
      </c>
      <c r="I37" s="44">
        <f>I13*Inputs!$B$21/500</f>
        <v/>
      </c>
      <c r="J37" s="44">
        <f>J13*Inputs!$B$21/500</f>
        <v/>
      </c>
      <c r="K37" s="44">
        <f>K13*Inputs!$B$21/500</f>
        <v/>
      </c>
      <c r="L37" s="44">
        <f>L13*Inputs!$B$21/500</f>
        <v/>
      </c>
    </row>
    <row r="38">
      <c r="A38" s="9" t="inlineStr">
        <is>
          <t>If 1,000 Russell 1000 names participate, tokenized share of each name's float</t>
        </is>
      </c>
      <c r="C38" s="44">
        <f>C13*Inputs!$B$21/1000</f>
        <v/>
      </c>
      <c r="D38" s="44">
        <f>D13*Inputs!$B$21/1000</f>
        <v/>
      </c>
      <c r="E38" s="44">
        <f>E13*Inputs!$B$21/1000</f>
        <v/>
      </c>
      <c r="F38" s="44">
        <f>F13*Inputs!$B$21/1000</f>
        <v/>
      </c>
      <c r="G38" s="44">
        <f>G13*Inputs!$B$21/1000</f>
        <v/>
      </c>
      <c r="H38" s="44">
        <f>H13*Inputs!$B$21/1000</f>
        <v/>
      </c>
      <c r="I38" s="44">
        <f>I13*Inputs!$B$21/1000</f>
        <v/>
      </c>
      <c r="J38" s="44">
        <f>J13*Inputs!$B$21/1000</f>
        <v/>
      </c>
      <c r="K38" s="44">
        <f>K13*Inputs!$B$21/1000</f>
        <v/>
      </c>
      <c r="L38" s="44">
        <f>L13*Inputs!$B$21/1000</f>
        <v/>
      </c>
    </row>
    <row r="39">
      <c r="A39" s="13" t="inlineStr">
        <is>
          <t>Reference: observed today - Tesla token / Tesla market cap</t>
        </is>
      </c>
      <c r="C39" s="45" t="n">
        <v>5e-05</v>
      </c>
      <c r="D39" s="46" t="inlineStr">
        <is>
          <t>TSLAx at roughly $71m against Tesla's market cap (S09). Consistent with several hundred participating names at today's penetration.</t>
        </is>
      </c>
    </row>
  </sheetData>
  <mergeCells count="4">
    <mergeCell ref="A33:L33"/>
    <mergeCell ref="A2:L2"/>
    <mergeCell ref="D39:L39"/>
    <mergeCell ref="A1:L1"/>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64"/>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7" customWidth="1" min="13" max="13"/>
    <col width="8" customWidth="1" min="14" max="14"/>
  </cols>
  <sheetData>
    <row r="1" ht="22" customHeight="1">
      <c r="A1" s="1" t="inlineStr">
        <is>
          <t>Revenue Pools</t>
        </is>
      </c>
    </row>
    <row r="2" ht="15" customHeight="1">
      <c r="A2" s="3" t="inlineStr">
        <is>
          <t>Annual revenue available to the tokenized US equity ecosystem, $M. Every rate traces to a disclosed figure on the Inputs tab.</t>
        </is>
      </c>
    </row>
    <row r="4" ht="16" customHeight="1">
      <c r="A4" s="4" t="inlineStr">
        <is>
          <t>INPUT FROM PROJECTION</t>
        </is>
      </c>
      <c r="B4" s="5" t="n"/>
      <c r="C4" s="5" t="n"/>
      <c r="D4" s="5" t="n"/>
      <c r="E4" s="5" t="n"/>
      <c r="F4" s="5" t="n"/>
      <c r="G4" s="5" t="n"/>
      <c r="H4" s="5" t="n"/>
      <c r="I4" s="5" t="n"/>
      <c r="J4" s="5" t="n"/>
      <c r="K4" s="5" t="n"/>
      <c r="L4" s="5" t="n"/>
      <c r="M4" s="5" t="n"/>
      <c r="N4" s="5" t="n"/>
    </row>
    <row r="5">
      <c r="A5" s="39" t="inlineStr"/>
      <c r="B5" s="39" t="inlineStr"/>
      <c r="C5" s="34" t="n">
        <v>2026</v>
      </c>
      <c r="D5" s="34" t="n">
        <v>2027</v>
      </c>
      <c r="E5" s="34" t="n">
        <v>2028</v>
      </c>
      <c r="F5" s="34" t="n">
        <v>2029</v>
      </c>
      <c r="G5" s="34" t="n">
        <v>2030</v>
      </c>
      <c r="H5" s="34" t="n">
        <v>2031</v>
      </c>
      <c r="I5" s="34" t="n">
        <v>2032</v>
      </c>
      <c r="J5" s="34" t="n">
        <v>2033</v>
      </c>
      <c r="K5" s="34" t="n">
        <v>2034</v>
      </c>
      <c r="L5" s="34" t="n">
        <v>2035</v>
      </c>
    </row>
    <row r="6">
      <c r="A6" s="9" t="inlineStr">
        <is>
          <t>Tokenized equity market cap ($M)</t>
        </is>
      </c>
      <c r="C6" s="40">
        <f>Projection!C22*1000</f>
        <v/>
      </c>
      <c r="D6" s="40">
        <f>Projection!D22*1000</f>
        <v/>
      </c>
      <c r="E6" s="40">
        <f>Projection!E22*1000</f>
        <v/>
      </c>
      <c r="F6" s="40">
        <f>Projection!F22*1000</f>
        <v/>
      </c>
      <c r="G6" s="40">
        <f>Projection!G22*1000</f>
        <v/>
      </c>
      <c r="H6" s="40">
        <f>Projection!H22*1000</f>
        <v/>
      </c>
      <c r="I6" s="40">
        <f>Projection!I22*1000</f>
        <v/>
      </c>
      <c r="J6" s="40">
        <f>Projection!J22*1000</f>
        <v/>
      </c>
      <c r="K6" s="40">
        <f>Projection!K22*1000</f>
        <v/>
      </c>
      <c r="L6" s="40">
        <f>Projection!L22*1000</f>
        <v/>
      </c>
    </row>
    <row r="8" ht="16" customHeight="1">
      <c r="A8" s="4" t="inlineStr">
        <is>
          <t>1.  TRADING</t>
        </is>
      </c>
      <c r="B8" s="5" t="n"/>
      <c r="C8" s="5" t="n"/>
      <c r="D8" s="5" t="n"/>
      <c r="E8" s="5" t="n"/>
      <c r="F8" s="5" t="n"/>
      <c r="G8" s="5" t="n"/>
      <c r="H8" s="5" t="n"/>
      <c r="I8" s="5" t="n"/>
      <c r="J8" s="5" t="n"/>
      <c r="K8" s="5" t="n"/>
      <c r="L8" s="5" t="n"/>
      <c r="M8" s="5" t="n"/>
      <c r="N8" s="5" t="n"/>
    </row>
    <row r="9">
      <c r="A9" s="39" t="inlineStr"/>
      <c r="B9" s="39" t="inlineStr"/>
      <c r="C9" s="34" t="n">
        <v>2026</v>
      </c>
      <c r="D9" s="34" t="n">
        <v>2027</v>
      </c>
      <c r="E9" s="34" t="n">
        <v>2028</v>
      </c>
      <c r="F9" s="34" t="n">
        <v>2029</v>
      </c>
      <c r="G9" s="34" t="n">
        <v>2030</v>
      </c>
      <c r="H9" s="34" t="n">
        <v>2031</v>
      </c>
      <c r="I9" s="34" t="n">
        <v>2032</v>
      </c>
      <c r="J9" s="34" t="n">
        <v>2033</v>
      </c>
      <c r="K9" s="34" t="n">
        <v>2034</v>
      </c>
      <c r="L9" s="34" t="n">
        <v>2035</v>
      </c>
    </row>
    <row r="10">
      <c r="A10" s="9" t="inlineStr">
        <is>
          <t>Tokenized turnover (x market cap)</t>
        </is>
      </c>
      <c r="C10" s="47">
        <f>Inputs!$B$12*(Inputs!$B$68+(Inputs!$C$68-Inputs!$B$68)*0/9)</f>
        <v/>
      </c>
      <c r="D10" s="47">
        <f>Inputs!$B$12*(Inputs!$B$68+(Inputs!$C$68-Inputs!$B$68)*1/9)</f>
        <v/>
      </c>
      <c r="E10" s="47">
        <f>Inputs!$B$12*(Inputs!$B$68+(Inputs!$C$68-Inputs!$B$68)*2/9)</f>
        <v/>
      </c>
      <c r="F10" s="47">
        <f>Inputs!$B$12*(Inputs!$B$68+(Inputs!$C$68-Inputs!$B$68)*3/9)</f>
        <v/>
      </c>
      <c r="G10" s="47">
        <f>Inputs!$B$12*(Inputs!$B$68+(Inputs!$C$68-Inputs!$B$68)*4/9)</f>
        <v/>
      </c>
      <c r="H10" s="47">
        <f>Inputs!$B$12*(Inputs!$B$68+(Inputs!$C$68-Inputs!$B$68)*5/9)</f>
        <v/>
      </c>
      <c r="I10" s="47">
        <f>Inputs!$B$12*(Inputs!$B$68+(Inputs!$C$68-Inputs!$B$68)*6/9)</f>
        <v/>
      </c>
      <c r="J10" s="47">
        <f>Inputs!$B$12*(Inputs!$B$68+(Inputs!$C$68-Inputs!$B$68)*7/9)</f>
        <v/>
      </c>
      <c r="K10" s="47">
        <f>Inputs!$B$12*(Inputs!$B$68+(Inputs!$C$68-Inputs!$B$68)*8/9)</f>
        <v/>
      </c>
      <c r="L10" s="47">
        <f>Inputs!$B$12*(Inputs!$B$68+(Inputs!$C$68-Inputs!$B$68)*9/9)</f>
        <v/>
      </c>
      <c r="M10" s="19" t="inlineStr">
        <is>
          <t>S03</t>
        </is>
      </c>
      <c r="N10" s="16">
        <f>HYPERLINK("https://www.cboe.com/insights/posts/2025-u-s-equities-year-in-review","src")</f>
        <v/>
      </c>
    </row>
    <row r="11">
      <c r="A11" s="9" t="inlineStr">
        <is>
          <t>Trading volume ($M)</t>
        </is>
      </c>
      <c r="C11" s="40">
        <f>C6*C10</f>
        <v/>
      </c>
      <c r="D11" s="40">
        <f>D6*D10</f>
        <v/>
      </c>
      <c r="E11" s="40">
        <f>E6*E10</f>
        <v/>
      </c>
      <c r="F11" s="40">
        <f>F6*F10</f>
        <v/>
      </c>
      <c r="G11" s="40">
        <f>G6*G10</f>
        <v/>
      </c>
      <c r="H11" s="40">
        <f>H6*H10</f>
        <v/>
      </c>
      <c r="I11" s="40">
        <f>I6*I10</f>
        <v/>
      </c>
      <c r="J11" s="40">
        <f>J6*J10</f>
        <v/>
      </c>
      <c r="K11" s="40">
        <f>K6*K10</f>
        <v/>
      </c>
      <c r="L11" s="40">
        <f>L6*L10</f>
        <v/>
      </c>
    </row>
    <row r="12">
      <c r="A12" s="9" t="inlineStr">
        <is>
          <t>Blended take rate (bps)</t>
        </is>
      </c>
      <c r="C12" s="48">
        <f>(Inputs!$B$67+(Inputs!$C$67-Inputs!$B$67)*0/9)*Inputs!$B$49+(1-(Inputs!$B$67+(Inputs!$C$67-Inputs!$B$67)*0/9))*Inputs!$B$48</f>
        <v/>
      </c>
      <c r="D12" s="48">
        <f>(Inputs!$B$67+(Inputs!$C$67-Inputs!$B$67)*1/9)*Inputs!$B$49+(1-(Inputs!$B$67+(Inputs!$C$67-Inputs!$B$67)*1/9))*Inputs!$B$48</f>
        <v/>
      </c>
      <c r="E12" s="48">
        <f>(Inputs!$B$67+(Inputs!$C$67-Inputs!$B$67)*2/9)*Inputs!$B$49+(1-(Inputs!$B$67+(Inputs!$C$67-Inputs!$B$67)*2/9))*Inputs!$B$48</f>
        <v/>
      </c>
      <c r="F12" s="48">
        <f>(Inputs!$B$67+(Inputs!$C$67-Inputs!$B$67)*3/9)*Inputs!$B$49+(1-(Inputs!$B$67+(Inputs!$C$67-Inputs!$B$67)*3/9))*Inputs!$B$48</f>
        <v/>
      </c>
      <c r="G12" s="48">
        <f>(Inputs!$B$67+(Inputs!$C$67-Inputs!$B$67)*4/9)*Inputs!$B$49+(1-(Inputs!$B$67+(Inputs!$C$67-Inputs!$B$67)*4/9))*Inputs!$B$48</f>
        <v/>
      </c>
      <c r="H12" s="48">
        <f>(Inputs!$B$67+(Inputs!$C$67-Inputs!$B$67)*5/9)*Inputs!$B$49+(1-(Inputs!$B$67+(Inputs!$C$67-Inputs!$B$67)*5/9))*Inputs!$B$48</f>
        <v/>
      </c>
      <c r="I12" s="48">
        <f>(Inputs!$B$67+(Inputs!$C$67-Inputs!$B$67)*6/9)*Inputs!$B$49+(1-(Inputs!$B$67+(Inputs!$C$67-Inputs!$B$67)*6/9))*Inputs!$B$48</f>
        <v/>
      </c>
      <c r="J12" s="48">
        <f>(Inputs!$B$67+(Inputs!$C$67-Inputs!$B$67)*7/9)*Inputs!$B$49+(1-(Inputs!$B$67+(Inputs!$C$67-Inputs!$B$67)*7/9))*Inputs!$B$48</f>
        <v/>
      </c>
      <c r="K12" s="48">
        <f>(Inputs!$B$67+(Inputs!$C$67-Inputs!$B$67)*8/9)*Inputs!$B$49+(1-(Inputs!$B$67+(Inputs!$C$67-Inputs!$B$67)*8/9))*Inputs!$B$48</f>
        <v/>
      </c>
      <c r="L12" s="48">
        <f>(Inputs!$B$67+(Inputs!$C$67-Inputs!$B$67)*9/9)*Inputs!$B$49+(1-(Inputs!$B$67+(Inputs!$C$67-Inputs!$B$67)*9/9))*Inputs!$B$48</f>
        <v/>
      </c>
      <c r="M12" s="19" t="inlineStr">
        <is>
          <t>S17</t>
        </is>
      </c>
      <c r="N12" s="16">
        <f>HYPERLINK("https://investors.robinhood.com/node/15161/pdf","src")</f>
        <v/>
      </c>
    </row>
    <row r="13">
      <c r="A13" s="15" t="inlineStr">
        <is>
          <t>Trading revenue ($M)</t>
        </is>
      </c>
      <c r="C13" s="41">
        <f>C11*C12/10000</f>
        <v/>
      </c>
      <c r="D13" s="41">
        <f>D11*D12/10000</f>
        <v/>
      </c>
      <c r="E13" s="41">
        <f>E11*E12/10000</f>
        <v/>
      </c>
      <c r="F13" s="41">
        <f>F11*F12/10000</f>
        <v/>
      </c>
      <c r="G13" s="41">
        <f>G11*G12/10000</f>
        <v/>
      </c>
      <c r="H13" s="41">
        <f>H11*H12/10000</f>
        <v/>
      </c>
      <c r="I13" s="41">
        <f>I11*I12/10000</f>
        <v/>
      </c>
      <c r="J13" s="41">
        <f>J11*J12/10000</f>
        <v/>
      </c>
      <c r="K13" s="41">
        <f>K11*K12/10000</f>
        <v/>
      </c>
      <c r="L13" s="41">
        <f>L11*L12/10000</f>
        <v/>
      </c>
    </row>
    <row r="15" ht="16" customHeight="1">
      <c r="A15" s="4" t="inlineStr">
        <is>
          <t>2.  SECURITIES LENDING (GROSS POOL)</t>
        </is>
      </c>
      <c r="B15" s="5" t="n"/>
      <c r="C15" s="5" t="n"/>
      <c r="D15" s="5" t="n"/>
      <c r="E15" s="5" t="n"/>
      <c r="F15" s="5" t="n"/>
      <c r="G15" s="5" t="n"/>
      <c r="H15" s="5" t="n"/>
      <c r="I15" s="5" t="n"/>
      <c r="J15" s="5" t="n"/>
      <c r="K15" s="5" t="n"/>
      <c r="L15" s="5" t="n"/>
      <c r="M15" s="5" t="n"/>
      <c r="N15" s="5" t="n"/>
    </row>
    <row r="16">
      <c r="A16" s="39" t="inlineStr"/>
      <c r="B16" s="39" t="inlineStr"/>
      <c r="C16" s="34" t="n">
        <v>2026</v>
      </c>
      <c r="D16" s="34" t="n">
        <v>2027</v>
      </c>
      <c r="E16" s="34" t="n">
        <v>2028</v>
      </c>
      <c r="F16" s="34" t="n">
        <v>2029</v>
      </c>
      <c r="G16" s="34" t="n">
        <v>2030</v>
      </c>
      <c r="H16" s="34" t="n">
        <v>2031</v>
      </c>
      <c r="I16" s="34" t="n">
        <v>2032</v>
      </c>
      <c r="J16" s="34" t="n">
        <v>2033</v>
      </c>
      <c r="K16" s="34" t="n">
        <v>2034</v>
      </c>
      <c r="L16" s="34" t="n">
        <v>2035</v>
      </c>
    </row>
    <row r="17">
      <c r="A17" s="9" t="inlineStr">
        <is>
          <t>Lendable pool ($M)</t>
        </is>
      </c>
      <c r="C17" s="40">
        <f>C6*(Inputs!$B$69+(Inputs!$C$69-Inputs!$B$69)*0/9)</f>
        <v/>
      </c>
      <c r="D17" s="40">
        <f>D6*(Inputs!$B$69+(Inputs!$C$69-Inputs!$B$69)*1/9)</f>
        <v/>
      </c>
      <c r="E17" s="40">
        <f>E6*(Inputs!$B$69+(Inputs!$C$69-Inputs!$B$69)*2/9)</f>
        <v/>
      </c>
      <c r="F17" s="40">
        <f>F6*(Inputs!$B$69+(Inputs!$C$69-Inputs!$B$69)*3/9)</f>
        <v/>
      </c>
      <c r="G17" s="40">
        <f>G6*(Inputs!$B$69+(Inputs!$C$69-Inputs!$B$69)*4/9)</f>
        <v/>
      </c>
      <c r="H17" s="40">
        <f>H6*(Inputs!$B$69+(Inputs!$C$69-Inputs!$B$69)*5/9)</f>
        <v/>
      </c>
      <c r="I17" s="40">
        <f>I6*(Inputs!$B$69+(Inputs!$C$69-Inputs!$B$69)*6/9)</f>
        <v/>
      </c>
      <c r="J17" s="40">
        <f>J6*(Inputs!$B$69+(Inputs!$C$69-Inputs!$B$69)*7/9)</f>
        <v/>
      </c>
      <c r="K17" s="40">
        <f>K6*(Inputs!$B$69+(Inputs!$C$69-Inputs!$B$69)*8/9)</f>
        <v/>
      </c>
      <c r="L17" s="40">
        <f>L6*(Inputs!$B$69+(Inputs!$C$69-Inputs!$B$69)*9/9)</f>
        <v/>
      </c>
    </row>
    <row r="18">
      <c r="A18" s="9" t="inlineStr">
        <is>
          <t>On-loan balance ($M)  [at sourced 6.96% utilisation]</t>
        </is>
      </c>
      <c r="C18" s="40">
        <f>C17*Inputs!$B$53</f>
        <v/>
      </c>
      <c r="D18" s="40">
        <f>D17*Inputs!$B$53</f>
        <v/>
      </c>
      <c r="E18" s="40">
        <f>E17*Inputs!$B$53</f>
        <v/>
      </c>
      <c r="F18" s="40">
        <f>F17*Inputs!$B$53</f>
        <v/>
      </c>
      <c r="G18" s="40">
        <f>G17*Inputs!$B$53</f>
        <v/>
      </c>
      <c r="H18" s="40">
        <f>H17*Inputs!$B$53</f>
        <v/>
      </c>
      <c r="I18" s="40">
        <f>I17*Inputs!$B$53</f>
        <v/>
      </c>
      <c r="J18" s="40">
        <f>J17*Inputs!$B$53</f>
        <v/>
      </c>
      <c r="K18" s="40">
        <f>K17*Inputs!$B$53</f>
        <v/>
      </c>
      <c r="L18" s="40">
        <f>L17*Inputs!$B$53</f>
        <v/>
      </c>
      <c r="M18" s="19" t="inlineStr">
        <is>
          <t>S14</t>
        </is>
      </c>
      <c r="N18" s="16">
        <f>HYPERLINK("https://www.securitiesfinancetimes.com/securitieslendingnews/industryarticle.php?article_id=228388","src")</f>
        <v/>
      </c>
    </row>
    <row r="19">
      <c r="A19" s="15" t="inlineStr">
        <is>
          <t>Securities lending revenue ($M)</t>
        </is>
      </c>
      <c r="C19" s="41">
        <f>C18*Inputs!$B$54/10000</f>
        <v/>
      </c>
      <c r="D19" s="41">
        <f>D18*Inputs!$B$54/10000</f>
        <v/>
      </c>
      <c r="E19" s="41">
        <f>E18*Inputs!$B$54/10000</f>
        <v/>
      </c>
      <c r="F19" s="41">
        <f>F18*Inputs!$B$54/10000</f>
        <v/>
      </c>
      <c r="G19" s="41">
        <f>G18*Inputs!$B$54/10000</f>
        <v/>
      </c>
      <c r="H19" s="41">
        <f>H18*Inputs!$B$54/10000</f>
        <v/>
      </c>
      <c r="I19" s="41">
        <f>I18*Inputs!$B$54/10000</f>
        <v/>
      </c>
      <c r="J19" s="41">
        <f>J18*Inputs!$B$54/10000</f>
        <v/>
      </c>
      <c r="K19" s="41">
        <f>K18*Inputs!$B$54/10000</f>
        <v/>
      </c>
      <c r="L19" s="41">
        <f>L18*Inputs!$B$54/10000</f>
        <v/>
      </c>
      <c r="M19" s="19" t="inlineStr">
        <is>
          <t>S14</t>
        </is>
      </c>
      <c r="N19" s="16">
        <f>HYPERLINK("https://www.securitiesfinancetimes.com/securitieslendingnews/industryarticle.php?article_id=228388","src")</f>
        <v/>
      </c>
    </row>
    <row r="21" ht="16" customHeight="1">
      <c r="A21" s="4" t="inlineStr">
        <is>
          <t>3.  CUSTODY AND PRIME</t>
        </is>
      </c>
      <c r="B21" s="5" t="n"/>
      <c r="C21" s="5" t="n"/>
      <c r="D21" s="5" t="n"/>
      <c r="E21" s="5" t="n"/>
      <c r="F21" s="5" t="n"/>
      <c r="G21" s="5" t="n"/>
      <c r="H21" s="5" t="n"/>
      <c r="I21" s="5" t="n"/>
      <c r="J21" s="5" t="n"/>
      <c r="K21" s="5" t="n"/>
      <c r="L21" s="5" t="n"/>
      <c r="M21" s="5" t="n"/>
      <c r="N21" s="5" t="n"/>
    </row>
    <row r="22">
      <c r="A22" s="39" t="inlineStr"/>
      <c r="B22" s="39" t="inlineStr"/>
      <c r="C22" s="34" t="n">
        <v>2026</v>
      </c>
      <c r="D22" s="34" t="n">
        <v>2027</v>
      </c>
      <c r="E22" s="34" t="n">
        <v>2028</v>
      </c>
      <c r="F22" s="34" t="n">
        <v>2029</v>
      </c>
      <c r="G22" s="34" t="n">
        <v>2030</v>
      </c>
      <c r="H22" s="34" t="n">
        <v>2031</v>
      </c>
      <c r="I22" s="34" t="n">
        <v>2032</v>
      </c>
      <c r="J22" s="34" t="n">
        <v>2033</v>
      </c>
      <c r="K22" s="34" t="n">
        <v>2034</v>
      </c>
      <c r="L22" s="34" t="n">
        <v>2035</v>
      </c>
    </row>
    <row r="23">
      <c r="A23" s="9" t="inlineStr">
        <is>
          <t>Assets under institutional custody ($M)</t>
        </is>
      </c>
      <c r="C23" s="40">
        <f>C6*(Inputs!$B$70+(Inputs!$C$70-Inputs!$B$70)*0/9)</f>
        <v/>
      </c>
      <c r="D23" s="40">
        <f>D6*(Inputs!$B$70+(Inputs!$C$70-Inputs!$B$70)*1/9)</f>
        <v/>
      </c>
      <c r="E23" s="40">
        <f>E6*(Inputs!$B$70+(Inputs!$C$70-Inputs!$B$70)*2/9)</f>
        <v/>
      </c>
      <c r="F23" s="40">
        <f>F6*(Inputs!$B$70+(Inputs!$C$70-Inputs!$B$70)*3/9)</f>
        <v/>
      </c>
      <c r="G23" s="40">
        <f>G6*(Inputs!$B$70+(Inputs!$C$70-Inputs!$B$70)*4/9)</f>
        <v/>
      </c>
      <c r="H23" s="40">
        <f>H6*(Inputs!$B$70+(Inputs!$C$70-Inputs!$B$70)*5/9)</f>
        <v/>
      </c>
      <c r="I23" s="40">
        <f>I6*(Inputs!$B$70+(Inputs!$C$70-Inputs!$B$70)*6/9)</f>
        <v/>
      </c>
      <c r="J23" s="40">
        <f>J6*(Inputs!$B$70+(Inputs!$C$70-Inputs!$B$70)*7/9)</f>
        <v/>
      </c>
      <c r="K23" s="40">
        <f>K6*(Inputs!$B$70+(Inputs!$C$70-Inputs!$B$70)*8/9)</f>
        <v/>
      </c>
      <c r="L23" s="40">
        <f>L6*(Inputs!$B$70+(Inputs!$C$70-Inputs!$B$70)*9/9)</f>
        <v/>
      </c>
    </row>
    <row r="24">
      <c r="A24" s="9" t="inlineStr">
        <is>
          <t>Custody fee (bps on AUC)</t>
        </is>
      </c>
      <c r="C24" s="48">
        <f>Inputs!$B$55*(Inputs!$B$71+(Inputs!$C$71-Inputs!$B$71)*0/9)</f>
        <v/>
      </c>
      <c r="D24" s="48">
        <f>Inputs!$B$55*(Inputs!$B$71+(Inputs!$C$71-Inputs!$B$71)*1/9)</f>
        <v/>
      </c>
      <c r="E24" s="48">
        <f>Inputs!$B$55*(Inputs!$B$71+(Inputs!$C$71-Inputs!$B$71)*2/9)</f>
        <v/>
      </c>
      <c r="F24" s="48">
        <f>Inputs!$B$55*(Inputs!$B$71+(Inputs!$C$71-Inputs!$B$71)*3/9)</f>
        <v/>
      </c>
      <c r="G24" s="48">
        <f>Inputs!$B$55*(Inputs!$B$71+(Inputs!$C$71-Inputs!$B$71)*4/9)</f>
        <v/>
      </c>
      <c r="H24" s="48">
        <f>Inputs!$B$55*(Inputs!$B$71+(Inputs!$C$71-Inputs!$B$71)*5/9)</f>
        <v/>
      </c>
      <c r="I24" s="48">
        <f>Inputs!$B$55*(Inputs!$B$71+(Inputs!$C$71-Inputs!$B$71)*6/9)</f>
        <v/>
      </c>
      <c r="J24" s="48">
        <f>Inputs!$B$55*(Inputs!$B$71+(Inputs!$C$71-Inputs!$B$71)*7/9)</f>
        <v/>
      </c>
      <c r="K24" s="48">
        <f>Inputs!$B$55*(Inputs!$B$71+(Inputs!$C$71-Inputs!$B$71)*8/9)</f>
        <v/>
      </c>
      <c r="L24" s="48">
        <f>Inputs!$B$55*(Inputs!$B$71+(Inputs!$C$71-Inputs!$B$71)*9/9)</f>
        <v/>
      </c>
      <c r="M24" s="19" t="inlineStr">
        <is>
          <t>S19</t>
        </is>
      </c>
      <c r="N24" s="16">
        <f>HYPERLINK("https://www.bny.com/assets/corporate/documents/pdf/investor-relations/earnings/earnings-press-release-4q-2025.pdf","src")</f>
        <v/>
      </c>
    </row>
    <row r="25">
      <c r="A25" s="15" t="inlineStr">
        <is>
          <t>Custody and prime revenue ($M)</t>
        </is>
      </c>
      <c r="C25" s="41">
        <f>C23*C24/10000</f>
        <v/>
      </c>
      <c r="D25" s="41">
        <f>D23*D24/10000</f>
        <v/>
      </c>
      <c r="E25" s="41">
        <f>E23*E24/10000</f>
        <v/>
      </c>
      <c r="F25" s="41">
        <f>F23*F24/10000</f>
        <v/>
      </c>
      <c r="G25" s="41">
        <f>G23*G24/10000</f>
        <v/>
      </c>
      <c r="H25" s="41">
        <f>H23*H24/10000</f>
        <v/>
      </c>
      <c r="I25" s="41">
        <f>I23*I24/10000</f>
        <v/>
      </c>
      <c r="J25" s="41">
        <f>J23*J24/10000</f>
        <v/>
      </c>
      <c r="K25" s="41">
        <f>K23*K24/10000</f>
        <v/>
      </c>
      <c r="L25" s="41">
        <f>L23*L24/10000</f>
        <v/>
      </c>
    </row>
    <row r="27" ht="16" customHeight="1">
      <c r="A27" s="4" t="inlineStr">
        <is>
          <t>4.  TOKENIZATION AND ASSET SERVICING</t>
        </is>
      </c>
      <c r="B27" s="5" t="n"/>
      <c r="C27" s="5" t="n"/>
      <c r="D27" s="5" t="n"/>
      <c r="E27" s="5" t="n"/>
      <c r="F27" s="5" t="n"/>
      <c r="G27" s="5" t="n"/>
      <c r="H27" s="5" t="n"/>
      <c r="I27" s="5" t="n"/>
      <c r="J27" s="5" t="n"/>
      <c r="K27" s="5" t="n"/>
      <c r="L27" s="5" t="n"/>
      <c r="M27" s="5" t="n"/>
      <c r="N27" s="5" t="n"/>
    </row>
    <row r="28" ht="40" customHeight="1">
      <c r="A28" s="23" t="inlineStr">
        <is>
          <t>Bracketed by two sourced yields on serviced assets. Lower bookend: DTCC settlement and asset services, 0.066bps on assets under custody - the utility rate for servicing a listed security that already exists. Upper bookend: Securitize, 134bps on tokenized AUM - full-service creation and administration of a tokenized fund. A tokenized listed equity is a wrapper on an already-serviced security, so the applied yield sits near the low end.</t>
        </is>
      </c>
    </row>
    <row r="29">
      <c r="A29" s="39" t="inlineStr"/>
      <c r="B29" s="39" t="inlineStr"/>
      <c r="C29" s="34" t="n">
        <v>2026</v>
      </c>
      <c r="D29" s="34" t="n">
        <v>2027</v>
      </c>
      <c r="E29" s="34" t="n">
        <v>2028</v>
      </c>
      <c r="F29" s="34" t="n">
        <v>2029</v>
      </c>
      <c r="G29" s="34" t="n">
        <v>2030</v>
      </c>
      <c r="H29" s="34" t="n">
        <v>2031</v>
      </c>
      <c r="I29" s="34" t="n">
        <v>2032</v>
      </c>
      <c r="J29" s="34" t="n">
        <v>2033</v>
      </c>
      <c r="K29" s="34" t="n">
        <v>2034</v>
      </c>
      <c r="L29" s="34" t="n">
        <v>2035</v>
      </c>
    </row>
    <row r="30">
      <c r="A30" s="13" t="inlineStr">
        <is>
          <t xml:space="preserve">  bookend - DTCC utility servicing yield (bps)</t>
        </is>
      </c>
      <c r="C30" s="49">
        <f>Inputs!$B$62</f>
        <v/>
      </c>
      <c r="D30" s="49">
        <f>Inputs!$B$62</f>
        <v/>
      </c>
      <c r="E30" s="49">
        <f>Inputs!$B$62</f>
        <v/>
      </c>
      <c r="F30" s="49">
        <f>Inputs!$B$62</f>
        <v/>
      </c>
      <c r="G30" s="49">
        <f>Inputs!$B$62</f>
        <v/>
      </c>
      <c r="H30" s="49">
        <f>Inputs!$B$62</f>
        <v/>
      </c>
      <c r="I30" s="49">
        <f>Inputs!$B$62</f>
        <v/>
      </c>
      <c r="J30" s="49">
        <f>Inputs!$B$62</f>
        <v/>
      </c>
      <c r="K30" s="49">
        <f>Inputs!$B$62</f>
        <v/>
      </c>
      <c r="L30" s="49">
        <f>Inputs!$B$62</f>
        <v/>
      </c>
      <c r="M30" s="19" t="inlineStr">
        <is>
          <t>S31</t>
        </is>
      </c>
      <c r="N30" s="16">
        <f>HYPERLINK("https://www.dtcc.com/-/media/Files/Downloads/legal/financials/2025/DTCC-Annual-Financial-Statement-2025.pdf","src")</f>
        <v/>
      </c>
    </row>
    <row r="31">
      <c r="A31" s="13" t="inlineStr">
        <is>
          <t xml:space="preserve">  bookend - Securitize full-service yield (bps)</t>
        </is>
      </c>
      <c r="C31" s="50">
        <f>Inputs!$B$61</f>
        <v/>
      </c>
      <c r="D31" s="50">
        <f>Inputs!$B$61</f>
        <v/>
      </c>
      <c r="E31" s="50">
        <f>Inputs!$B$61</f>
        <v/>
      </c>
      <c r="F31" s="50">
        <f>Inputs!$B$61</f>
        <v/>
      </c>
      <c r="G31" s="50">
        <f>Inputs!$B$61</f>
        <v/>
      </c>
      <c r="H31" s="50">
        <f>Inputs!$B$61</f>
        <v/>
      </c>
      <c r="I31" s="50">
        <f>Inputs!$B$61</f>
        <v/>
      </c>
      <c r="J31" s="50">
        <f>Inputs!$B$61</f>
        <v/>
      </c>
      <c r="K31" s="50">
        <f>Inputs!$B$61</f>
        <v/>
      </c>
      <c r="L31" s="50">
        <f>Inputs!$B$61</f>
        <v/>
      </c>
      <c r="M31" s="19" t="inlineStr">
        <is>
          <t>S24</t>
        </is>
      </c>
      <c r="N31" s="16">
        <f>HYPERLINK("https://www.prnewswire.com/news-releases/securitize-reports-second-quarter-2026-results-302850119.html","src")</f>
        <v/>
      </c>
    </row>
    <row r="32">
      <c r="A32" s="9" t="inlineStr">
        <is>
          <t>Tokenization + servicing yield applied (bps)</t>
        </is>
      </c>
      <c r="C32" s="42">
        <f>(Inputs!$B$72+(Inputs!$C$72-Inputs!$B$72)*0/9)</f>
        <v/>
      </c>
      <c r="D32" s="42">
        <f>(Inputs!$B$72+(Inputs!$C$72-Inputs!$B$72)*1/9)</f>
        <v/>
      </c>
      <c r="E32" s="42">
        <f>(Inputs!$B$72+(Inputs!$C$72-Inputs!$B$72)*2/9)</f>
        <v/>
      </c>
      <c r="F32" s="42">
        <f>(Inputs!$B$72+(Inputs!$C$72-Inputs!$B$72)*3/9)</f>
        <v/>
      </c>
      <c r="G32" s="42">
        <f>(Inputs!$B$72+(Inputs!$C$72-Inputs!$B$72)*4/9)</f>
        <v/>
      </c>
      <c r="H32" s="42">
        <f>(Inputs!$B$72+(Inputs!$C$72-Inputs!$B$72)*5/9)</f>
        <v/>
      </c>
      <c r="I32" s="42">
        <f>(Inputs!$B$72+(Inputs!$C$72-Inputs!$B$72)*6/9)</f>
        <v/>
      </c>
      <c r="J32" s="42">
        <f>(Inputs!$B$72+(Inputs!$C$72-Inputs!$B$72)*7/9)</f>
        <v/>
      </c>
      <c r="K32" s="42">
        <f>(Inputs!$B$72+(Inputs!$C$72-Inputs!$B$72)*8/9)</f>
        <v/>
      </c>
      <c r="L32" s="42">
        <f>(Inputs!$B$72+(Inputs!$C$72-Inputs!$B$72)*9/9)</f>
        <v/>
      </c>
    </row>
    <row r="33">
      <c r="A33" s="15" t="inlineStr">
        <is>
          <t>Tokenization + servicing revenue ($M)</t>
        </is>
      </c>
      <c r="C33" s="41">
        <f>C6*C32/10000</f>
        <v/>
      </c>
      <c r="D33" s="41">
        <f>D6*D32/10000</f>
        <v/>
      </c>
      <c r="E33" s="41">
        <f>E6*E32/10000</f>
        <v/>
      </c>
      <c r="F33" s="41">
        <f>F6*F32/10000</f>
        <v/>
      </c>
      <c r="G33" s="41">
        <f>G6*G32/10000</f>
        <v/>
      </c>
      <c r="H33" s="41">
        <f>H6*H32/10000</f>
        <v/>
      </c>
      <c r="I33" s="41">
        <f>I6*I32/10000</f>
        <v/>
      </c>
      <c r="J33" s="41">
        <f>J6*J32/10000</f>
        <v/>
      </c>
      <c r="K33" s="41">
        <f>K6*K32/10000</f>
        <v/>
      </c>
      <c r="L33" s="41">
        <f>L6*L32/10000</f>
        <v/>
      </c>
    </row>
    <row r="35" ht="16" customHeight="1">
      <c r="A35" s="4" t="inlineStr">
        <is>
          <t>5.  MARKET DATA AND INDEX LICENSING</t>
        </is>
      </c>
      <c r="B35" s="5" t="n"/>
      <c r="C35" s="5" t="n"/>
      <c r="D35" s="5" t="n"/>
      <c r="E35" s="5" t="n"/>
      <c r="F35" s="5" t="n"/>
      <c r="G35" s="5" t="n"/>
      <c r="H35" s="5" t="n"/>
      <c r="I35" s="5" t="n"/>
      <c r="J35" s="5" t="n"/>
      <c r="K35" s="5" t="n"/>
      <c r="L35" s="5" t="n"/>
      <c r="M35" s="5" t="n"/>
      <c r="N35" s="5" t="n"/>
    </row>
    <row r="36">
      <c r="A36" s="39" t="inlineStr"/>
      <c r="B36" s="39" t="inlineStr"/>
      <c r="C36" s="34" t="n">
        <v>2026</v>
      </c>
      <c r="D36" s="34" t="n">
        <v>2027</v>
      </c>
      <c r="E36" s="34" t="n">
        <v>2028</v>
      </c>
      <c r="F36" s="34" t="n">
        <v>2029</v>
      </c>
      <c r="G36" s="34" t="n">
        <v>2030</v>
      </c>
      <c r="H36" s="34" t="n">
        <v>2031</v>
      </c>
      <c r="I36" s="34" t="n">
        <v>2032</v>
      </c>
      <c r="J36" s="34" t="n">
        <v>2033</v>
      </c>
      <c r="K36" s="34" t="n">
        <v>2034</v>
      </c>
      <c r="L36" s="34" t="n">
        <v>2035</v>
      </c>
    </row>
    <row r="37">
      <c r="A37" s="15" t="inlineStr">
        <is>
          <t>Market data revenue ($M)  [26.5% of trading revenue, ICE basis]</t>
        </is>
      </c>
      <c r="C37" s="41">
        <f>C13*Inputs!$B$56</f>
        <v/>
      </c>
      <c r="D37" s="41">
        <f>D13*Inputs!$B$56</f>
        <v/>
      </c>
      <c r="E37" s="41">
        <f>E13*Inputs!$B$56</f>
        <v/>
      </c>
      <c r="F37" s="41">
        <f>F13*Inputs!$B$56</f>
        <v/>
      </c>
      <c r="G37" s="41">
        <f>G13*Inputs!$B$56</f>
        <v/>
      </c>
      <c r="H37" s="41">
        <f>H13*Inputs!$B$56</f>
        <v/>
      </c>
      <c r="I37" s="41">
        <f>I13*Inputs!$B$56</f>
        <v/>
      </c>
      <c r="J37" s="41">
        <f>J13*Inputs!$B$56</f>
        <v/>
      </c>
      <c r="K37" s="41">
        <f>K13*Inputs!$B$56</f>
        <v/>
      </c>
      <c r="L37" s="41">
        <f>L13*Inputs!$B$56</f>
        <v/>
      </c>
      <c r="M37" s="19" t="inlineStr">
        <is>
          <t>S20</t>
        </is>
      </c>
      <c r="N37" s="16">
        <f>HYPERLINK("https://ir.theice.com/press/news-details/2026/Intercontinental-Exchange-Reports-Strong-Full-Year-2025-Results/default.aspx","src")</f>
        <v/>
      </c>
    </row>
    <row r="39" ht="16" customHeight="1">
      <c r="A39" s="4" t="inlineStr">
        <is>
          <t>6.  SETTLEMENT AND CLEARING</t>
        </is>
      </c>
      <c r="B39" s="5" t="n"/>
      <c r="C39" s="5" t="n"/>
      <c r="D39" s="5" t="n"/>
      <c r="E39" s="5" t="n"/>
      <c r="F39" s="5" t="n"/>
      <c r="G39" s="5" t="n"/>
      <c r="H39" s="5" t="n"/>
      <c r="I39" s="5" t="n"/>
      <c r="J39" s="5" t="n"/>
      <c r="K39" s="5" t="n"/>
      <c r="L39" s="5" t="n"/>
      <c r="M39" s="5" t="n"/>
      <c r="N39" s="5" t="n"/>
    </row>
    <row r="40" ht="28" customHeight="1">
      <c r="A40" s="23" t="inlineStr">
        <is>
          <t>Priced on notional at the published NSCC value-into-net rate of $0.44 per $1m, i.e. 0.0044bps. This pool is structurally tiny, which is the honest answer: clearing is a utility-priced service. v6.1 showed it ~25x larger by applying a per-trade fee the cited filing does not contain.</t>
        </is>
      </c>
    </row>
    <row r="41">
      <c r="A41" s="39" t="inlineStr"/>
      <c r="B41" s="39" t="inlineStr"/>
      <c r="C41" s="34" t="n">
        <v>2026</v>
      </c>
      <c r="D41" s="34" t="n">
        <v>2027</v>
      </c>
      <c r="E41" s="34" t="n">
        <v>2028</v>
      </c>
      <c r="F41" s="34" t="n">
        <v>2029</v>
      </c>
      <c r="G41" s="34" t="n">
        <v>2030</v>
      </c>
      <c r="H41" s="34" t="n">
        <v>2031</v>
      </c>
      <c r="I41" s="34" t="n">
        <v>2032</v>
      </c>
      <c r="J41" s="34" t="n">
        <v>2033</v>
      </c>
      <c r="K41" s="34" t="n">
        <v>2034</v>
      </c>
      <c r="L41" s="34" t="n">
        <v>2035</v>
      </c>
    </row>
    <row r="42">
      <c r="A42" s="15" t="inlineStr">
        <is>
          <t>Settlement and clearing revenue ($M)</t>
        </is>
      </c>
      <c r="C42" s="51">
        <f>C11*Inputs!$B$59/10000</f>
        <v/>
      </c>
      <c r="D42" s="51">
        <f>D11*Inputs!$B$59/10000</f>
        <v/>
      </c>
      <c r="E42" s="51">
        <f>E11*Inputs!$B$59/10000</f>
        <v/>
      </c>
      <c r="F42" s="51">
        <f>F11*Inputs!$B$59/10000</f>
        <v/>
      </c>
      <c r="G42" s="51">
        <f>G11*Inputs!$B$59/10000</f>
        <v/>
      </c>
      <c r="H42" s="51">
        <f>H11*Inputs!$B$59/10000</f>
        <v/>
      </c>
      <c r="I42" s="51">
        <f>I11*Inputs!$B$59/10000</f>
        <v/>
      </c>
      <c r="J42" s="51">
        <f>J11*Inputs!$B$59/10000</f>
        <v/>
      </c>
      <c r="K42" s="51">
        <f>K11*Inputs!$B$59/10000</f>
        <v/>
      </c>
      <c r="L42" s="51">
        <f>L11*Inputs!$B$59/10000</f>
        <v/>
      </c>
      <c r="M42" s="19" t="inlineStr">
        <is>
          <t>S22</t>
        </is>
      </c>
      <c r="N42" s="16">
        <f>HYPERLINK("https://www.dtcc.com/-/media/Files/Downloads/legal/fee-guides/nsccfeeguide.pdf","src")</f>
        <v/>
      </c>
    </row>
    <row r="44" ht="16" customHeight="1">
      <c r="A44" s="4" t="inlineStr">
        <is>
          <t>TOTAL REVENUE POOL</t>
        </is>
      </c>
      <c r="B44" s="5" t="n"/>
      <c r="C44" s="5" t="n"/>
      <c r="D44" s="5" t="n"/>
      <c r="E44" s="5" t="n"/>
      <c r="F44" s="5" t="n"/>
      <c r="G44" s="5" t="n"/>
      <c r="H44" s="5" t="n"/>
      <c r="I44" s="5" t="n"/>
      <c r="J44" s="5" t="n"/>
      <c r="K44" s="5" t="n"/>
      <c r="L44" s="5" t="n"/>
      <c r="M44" s="5" t="n"/>
      <c r="N44" s="5" t="n"/>
    </row>
    <row r="45">
      <c r="A45" s="39" t="inlineStr"/>
      <c r="B45" s="39" t="inlineStr"/>
      <c r="C45" s="34" t="n">
        <v>2026</v>
      </c>
      <c r="D45" s="34" t="n">
        <v>2027</v>
      </c>
      <c r="E45" s="34" t="n">
        <v>2028</v>
      </c>
      <c r="F45" s="34" t="n">
        <v>2029</v>
      </c>
      <c r="G45" s="34" t="n">
        <v>2030</v>
      </c>
      <c r="H45" s="34" t="n">
        <v>2031</v>
      </c>
      <c r="I45" s="34" t="n">
        <v>2032</v>
      </c>
      <c r="J45" s="34" t="n">
        <v>2033</v>
      </c>
      <c r="K45" s="34" t="n">
        <v>2034</v>
      </c>
      <c r="L45" s="34" t="n">
        <v>2035</v>
      </c>
    </row>
    <row r="46">
      <c r="A46" s="9" t="inlineStr">
        <is>
          <t>1  Trading</t>
        </is>
      </c>
      <c r="C46" s="40">
        <f>C13</f>
        <v/>
      </c>
      <c r="D46" s="40">
        <f>D13</f>
        <v/>
      </c>
      <c r="E46" s="40">
        <f>E13</f>
        <v/>
      </c>
      <c r="F46" s="40">
        <f>F13</f>
        <v/>
      </c>
      <c r="G46" s="40">
        <f>G13</f>
        <v/>
      </c>
      <c r="H46" s="40">
        <f>H13</f>
        <v/>
      </c>
      <c r="I46" s="40">
        <f>I13</f>
        <v/>
      </c>
      <c r="J46" s="40">
        <f>J13</f>
        <v/>
      </c>
      <c r="K46" s="40">
        <f>K13</f>
        <v/>
      </c>
      <c r="L46" s="40">
        <f>L13</f>
        <v/>
      </c>
    </row>
    <row r="47">
      <c r="A47" s="9" t="inlineStr">
        <is>
          <t>2  Securities lending</t>
        </is>
      </c>
      <c r="C47" s="40">
        <f>C19</f>
        <v/>
      </c>
      <c r="D47" s="40">
        <f>D19</f>
        <v/>
      </c>
      <c r="E47" s="40">
        <f>E19</f>
        <v/>
      </c>
      <c r="F47" s="40">
        <f>F19</f>
        <v/>
      </c>
      <c r="G47" s="40">
        <f>G19</f>
        <v/>
      </c>
      <c r="H47" s="40">
        <f>H19</f>
        <v/>
      </c>
      <c r="I47" s="40">
        <f>I19</f>
        <v/>
      </c>
      <c r="J47" s="40">
        <f>J19</f>
        <v/>
      </c>
      <c r="K47" s="40">
        <f>K19</f>
        <v/>
      </c>
      <c r="L47" s="40">
        <f>L19</f>
        <v/>
      </c>
    </row>
    <row r="48">
      <c r="A48" s="9" t="inlineStr">
        <is>
          <t>3  Custody and prime</t>
        </is>
      </c>
      <c r="C48" s="40">
        <f>C25</f>
        <v/>
      </c>
      <c r="D48" s="40">
        <f>D25</f>
        <v/>
      </c>
      <c r="E48" s="40">
        <f>E25</f>
        <v/>
      </c>
      <c r="F48" s="40">
        <f>F25</f>
        <v/>
      </c>
      <c r="G48" s="40">
        <f>G25</f>
        <v/>
      </c>
      <c r="H48" s="40">
        <f>H25</f>
        <v/>
      </c>
      <c r="I48" s="40">
        <f>I25</f>
        <v/>
      </c>
      <c r="J48" s="40">
        <f>J25</f>
        <v/>
      </c>
      <c r="K48" s="40">
        <f>K25</f>
        <v/>
      </c>
      <c r="L48" s="40">
        <f>L25</f>
        <v/>
      </c>
    </row>
    <row r="49">
      <c r="A49" s="9" t="inlineStr">
        <is>
          <t>4  Tokenization and servicing</t>
        </is>
      </c>
      <c r="C49" s="40">
        <f>C33</f>
        <v/>
      </c>
      <c r="D49" s="40">
        <f>D33</f>
        <v/>
      </c>
      <c r="E49" s="40">
        <f>E33</f>
        <v/>
      </c>
      <c r="F49" s="40">
        <f>F33</f>
        <v/>
      </c>
      <c r="G49" s="40">
        <f>G33</f>
        <v/>
      </c>
      <c r="H49" s="40">
        <f>H33</f>
        <v/>
      </c>
      <c r="I49" s="40">
        <f>I33</f>
        <v/>
      </c>
      <c r="J49" s="40">
        <f>J33</f>
        <v/>
      </c>
      <c r="K49" s="40">
        <f>K33</f>
        <v/>
      </c>
      <c r="L49" s="40">
        <f>L33</f>
        <v/>
      </c>
    </row>
    <row r="50">
      <c r="A50" s="9" t="inlineStr">
        <is>
          <t>5  Market data and index</t>
        </is>
      </c>
      <c r="C50" s="40">
        <f>C37</f>
        <v/>
      </c>
      <c r="D50" s="40">
        <f>D37</f>
        <v/>
      </c>
      <c r="E50" s="40">
        <f>E37</f>
        <v/>
      </c>
      <c r="F50" s="40">
        <f>F37</f>
        <v/>
      </c>
      <c r="G50" s="40">
        <f>G37</f>
        <v/>
      </c>
      <c r="H50" s="40">
        <f>H37</f>
        <v/>
      </c>
      <c r="I50" s="40">
        <f>I37</f>
        <v/>
      </c>
      <c r="J50" s="40">
        <f>J37</f>
        <v/>
      </c>
      <c r="K50" s="40">
        <f>K37</f>
        <v/>
      </c>
      <c r="L50" s="40">
        <f>L37</f>
        <v/>
      </c>
    </row>
    <row r="51">
      <c r="A51" s="9" t="inlineStr">
        <is>
          <t>6  Settlement and clearing</t>
        </is>
      </c>
      <c r="C51" s="40">
        <f>C42</f>
        <v/>
      </c>
      <c r="D51" s="40">
        <f>D42</f>
        <v/>
      </c>
      <c r="E51" s="40">
        <f>E42</f>
        <v/>
      </c>
      <c r="F51" s="40">
        <f>F42</f>
        <v/>
      </c>
      <c r="G51" s="40">
        <f>G42</f>
        <v/>
      </c>
      <c r="H51" s="40">
        <f>H42</f>
        <v/>
      </c>
      <c r="I51" s="40">
        <f>I42</f>
        <v/>
      </c>
      <c r="J51" s="40">
        <f>J42</f>
        <v/>
      </c>
      <c r="K51" s="40">
        <f>K42</f>
        <v/>
      </c>
      <c r="L51" s="40">
        <f>L42</f>
        <v/>
      </c>
    </row>
    <row r="52">
      <c r="A52" s="15" t="inlineStr">
        <is>
          <t>TOTAL REVENUE POOL ($M)</t>
        </is>
      </c>
      <c r="C52" s="52">
        <f>SUM(C46:C51)</f>
        <v/>
      </c>
      <c r="D52" s="52">
        <f>SUM(D46:D51)</f>
        <v/>
      </c>
      <c r="E52" s="52">
        <f>SUM(E46:E51)</f>
        <v/>
      </c>
      <c r="F52" s="52">
        <f>SUM(F46:F51)</f>
        <v/>
      </c>
      <c r="G52" s="52">
        <f>SUM(G46:G51)</f>
        <v/>
      </c>
      <c r="H52" s="52">
        <f>SUM(H46:H51)</f>
        <v/>
      </c>
      <c r="I52" s="52">
        <f>SUM(I46:I51)</f>
        <v/>
      </c>
      <c r="J52" s="52">
        <f>SUM(J46:J51)</f>
        <v/>
      </c>
      <c r="K52" s="52">
        <f>SUM(K46:K51)</f>
        <v/>
      </c>
      <c r="L52" s="52">
        <f>SUM(L46:L51)</f>
        <v/>
      </c>
    </row>
    <row r="53">
      <c r="A53" s="15" t="inlineStr">
        <is>
          <t>Total revenue pool ($Bn)</t>
        </is>
      </c>
      <c r="C53" s="53">
        <f>C52/1000</f>
        <v/>
      </c>
      <c r="D53" s="53">
        <f>D52/1000</f>
        <v/>
      </c>
      <c r="E53" s="53">
        <f>E52/1000</f>
        <v/>
      </c>
      <c r="F53" s="53">
        <f>F52/1000</f>
        <v/>
      </c>
      <c r="G53" s="53">
        <f>G52/1000</f>
        <v/>
      </c>
      <c r="H53" s="53">
        <f>H52/1000</f>
        <v/>
      </c>
      <c r="I53" s="53">
        <f>I52/1000</f>
        <v/>
      </c>
      <c r="J53" s="53">
        <f>J52/1000</f>
        <v/>
      </c>
      <c r="K53" s="53">
        <f>K52/1000</f>
        <v/>
      </c>
      <c r="L53" s="53">
        <f>L52/1000</f>
        <v/>
      </c>
    </row>
    <row r="54">
      <c r="A54" s="9" t="inlineStr">
        <is>
          <t>Revenue yield on tokenized market cap (bps)</t>
        </is>
      </c>
      <c r="C54" s="42">
        <f>IFERROR(C52/C6*10000,0)</f>
        <v/>
      </c>
      <c r="D54" s="42">
        <f>IFERROR(D52/D6*10000,0)</f>
        <v/>
      </c>
      <c r="E54" s="42">
        <f>IFERROR(E52/E6*10000,0)</f>
        <v/>
      </c>
      <c r="F54" s="42">
        <f>IFERROR(F52/F6*10000,0)</f>
        <v/>
      </c>
      <c r="G54" s="42">
        <f>IFERROR(G52/G6*10000,0)</f>
        <v/>
      </c>
      <c r="H54" s="42">
        <f>IFERROR(H52/H6*10000,0)</f>
        <v/>
      </c>
      <c r="I54" s="42">
        <f>IFERROR(I52/I6*10000,0)</f>
        <v/>
      </c>
      <c r="J54" s="42">
        <f>IFERROR(J52/J6*10000,0)</f>
        <v/>
      </c>
      <c r="K54" s="42">
        <f>IFERROR(K52/K6*10000,0)</f>
        <v/>
      </c>
      <c r="L54" s="42">
        <f>IFERROR(L52/L6*10000,0)</f>
        <v/>
      </c>
    </row>
    <row r="56" ht="16" customHeight="1">
      <c r="A56" s="4" t="inlineStr">
        <is>
          <t>REVENUE MIX (% OF TOTAL)</t>
        </is>
      </c>
      <c r="B56" s="5" t="n"/>
      <c r="C56" s="5" t="n"/>
      <c r="D56" s="5" t="n"/>
      <c r="E56" s="5" t="n"/>
      <c r="F56" s="5" t="n"/>
      <c r="G56" s="5" t="n"/>
      <c r="H56" s="5" t="n"/>
      <c r="I56" s="5" t="n"/>
      <c r="J56" s="5" t="n"/>
      <c r="K56" s="5" t="n"/>
      <c r="L56" s="5" t="n"/>
      <c r="M56" s="5" t="n"/>
      <c r="N56" s="5" t="n"/>
    </row>
    <row r="57">
      <c r="A57" s="39" t="inlineStr"/>
      <c r="B57" s="39" t="inlineStr"/>
      <c r="C57" s="34" t="n">
        <v>2026</v>
      </c>
      <c r="D57" s="34" t="n">
        <v>2027</v>
      </c>
      <c r="E57" s="34" t="n">
        <v>2028</v>
      </c>
      <c r="F57" s="34" t="n">
        <v>2029</v>
      </c>
      <c r="G57" s="34" t="n">
        <v>2030</v>
      </c>
      <c r="H57" s="34" t="n">
        <v>2031</v>
      </c>
      <c r="I57" s="34" t="n">
        <v>2032</v>
      </c>
      <c r="J57" s="34" t="n">
        <v>2033</v>
      </c>
      <c r="K57" s="34" t="n">
        <v>2034</v>
      </c>
      <c r="L57" s="34" t="n">
        <v>2035</v>
      </c>
    </row>
    <row r="58">
      <c r="A58" s="9" t="inlineStr">
        <is>
          <t>1  Trading</t>
        </is>
      </c>
      <c r="C58" s="43">
        <f>IFERROR(C46/C52,0)</f>
        <v/>
      </c>
      <c r="D58" s="43">
        <f>IFERROR(D46/D52,0)</f>
        <v/>
      </c>
      <c r="E58" s="43">
        <f>IFERROR(E46/E52,0)</f>
        <v/>
      </c>
      <c r="F58" s="43">
        <f>IFERROR(F46/F52,0)</f>
        <v/>
      </c>
      <c r="G58" s="43">
        <f>IFERROR(G46/G52,0)</f>
        <v/>
      </c>
      <c r="H58" s="43">
        <f>IFERROR(H46/H52,0)</f>
        <v/>
      </c>
      <c r="I58" s="43">
        <f>IFERROR(I46/I52,0)</f>
        <v/>
      </c>
      <c r="J58" s="43">
        <f>IFERROR(J46/J52,0)</f>
        <v/>
      </c>
      <c r="K58" s="43">
        <f>IFERROR(K46/K52,0)</f>
        <v/>
      </c>
      <c r="L58" s="43">
        <f>IFERROR(L46/L52,0)</f>
        <v/>
      </c>
    </row>
    <row r="59">
      <c r="A59" s="9" t="inlineStr">
        <is>
          <t>2  Securities lending</t>
        </is>
      </c>
      <c r="C59" s="43">
        <f>IFERROR(C47/C52,0)</f>
        <v/>
      </c>
      <c r="D59" s="43">
        <f>IFERROR(D47/D52,0)</f>
        <v/>
      </c>
      <c r="E59" s="43">
        <f>IFERROR(E47/E52,0)</f>
        <v/>
      </c>
      <c r="F59" s="43">
        <f>IFERROR(F47/F52,0)</f>
        <v/>
      </c>
      <c r="G59" s="43">
        <f>IFERROR(G47/G52,0)</f>
        <v/>
      </c>
      <c r="H59" s="43">
        <f>IFERROR(H47/H52,0)</f>
        <v/>
      </c>
      <c r="I59" s="43">
        <f>IFERROR(I47/I52,0)</f>
        <v/>
      </c>
      <c r="J59" s="43">
        <f>IFERROR(J47/J52,0)</f>
        <v/>
      </c>
      <c r="K59" s="43">
        <f>IFERROR(K47/K52,0)</f>
        <v/>
      </c>
      <c r="L59" s="43">
        <f>IFERROR(L47/L52,0)</f>
        <v/>
      </c>
    </row>
    <row r="60">
      <c r="A60" s="9" t="inlineStr">
        <is>
          <t>3  Custody and prime</t>
        </is>
      </c>
      <c r="C60" s="43">
        <f>IFERROR(C48/C52,0)</f>
        <v/>
      </c>
      <c r="D60" s="43">
        <f>IFERROR(D48/D52,0)</f>
        <v/>
      </c>
      <c r="E60" s="43">
        <f>IFERROR(E48/E52,0)</f>
        <v/>
      </c>
      <c r="F60" s="43">
        <f>IFERROR(F48/F52,0)</f>
        <v/>
      </c>
      <c r="G60" s="43">
        <f>IFERROR(G48/G52,0)</f>
        <v/>
      </c>
      <c r="H60" s="43">
        <f>IFERROR(H48/H52,0)</f>
        <v/>
      </c>
      <c r="I60" s="43">
        <f>IFERROR(I48/I52,0)</f>
        <v/>
      </c>
      <c r="J60" s="43">
        <f>IFERROR(J48/J52,0)</f>
        <v/>
      </c>
      <c r="K60" s="43">
        <f>IFERROR(K48/K52,0)</f>
        <v/>
      </c>
      <c r="L60" s="43">
        <f>IFERROR(L48/L52,0)</f>
        <v/>
      </c>
    </row>
    <row r="61">
      <c r="A61" s="9" t="inlineStr">
        <is>
          <t>4  Tokenization and servicing</t>
        </is>
      </c>
      <c r="C61" s="43">
        <f>IFERROR(C49/C52,0)</f>
        <v/>
      </c>
      <c r="D61" s="43">
        <f>IFERROR(D49/D52,0)</f>
        <v/>
      </c>
      <c r="E61" s="43">
        <f>IFERROR(E49/E52,0)</f>
        <v/>
      </c>
      <c r="F61" s="43">
        <f>IFERROR(F49/F52,0)</f>
        <v/>
      </c>
      <c r="G61" s="43">
        <f>IFERROR(G49/G52,0)</f>
        <v/>
      </c>
      <c r="H61" s="43">
        <f>IFERROR(H49/H52,0)</f>
        <v/>
      </c>
      <c r="I61" s="43">
        <f>IFERROR(I49/I52,0)</f>
        <v/>
      </c>
      <c r="J61" s="43">
        <f>IFERROR(J49/J52,0)</f>
        <v/>
      </c>
      <c r="K61" s="43">
        <f>IFERROR(K49/K52,0)</f>
        <v/>
      </c>
      <c r="L61" s="43">
        <f>IFERROR(L49/L52,0)</f>
        <v/>
      </c>
    </row>
    <row r="62">
      <c r="A62" s="9" t="inlineStr">
        <is>
          <t>5  Market data and index</t>
        </is>
      </c>
      <c r="C62" s="43">
        <f>IFERROR(C50/C52,0)</f>
        <v/>
      </c>
      <c r="D62" s="43">
        <f>IFERROR(D50/D52,0)</f>
        <v/>
      </c>
      <c r="E62" s="43">
        <f>IFERROR(E50/E52,0)</f>
        <v/>
      </c>
      <c r="F62" s="43">
        <f>IFERROR(F50/F52,0)</f>
        <v/>
      </c>
      <c r="G62" s="43">
        <f>IFERROR(G50/G52,0)</f>
        <v/>
      </c>
      <c r="H62" s="43">
        <f>IFERROR(H50/H52,0)</f>
        <v/>
      </c>
      <c r="I62" s="43">
        <f>IFERROR(I50/I52,0)</f>
        <v/>
      </c>
      <c r="J62" s="43">
        <f>IFERROR(J50/J52,0)</f>
        <v/>
      </c>
      <c r="K62" s="43">
        <f>IFERROR(K50/K52,0)</f>
        <v/>
      </c>
      <c r="L62" s="43">
        <f>IFERROR(L50/L52,0)</f>
        <v/>
      </c>
    </row>
    <row r="63">
      <c r="A63" s="9" t="inlineStr">
        <is>
          <t>6  Settlement and clearing</t>
        </is>
      </c>
      <c r="C63" s="43">
        <f>IFERROR(C51/C52,0)</f>
        <v/>
      </c>
      <c r="D63" s="43">
        <f>IFERROR(D51/D52,0)</f>
        <v/>
      </c>
      <c r="E63" s="43">
        <f>IFERROR(E51/E52,0)</f>
        <v/>
      </c>
      <c r="F63" s="43">
        <f>IFERROR(F51/F52,0)</f>
        <v/>
      </c>
      <c r="G63" s="43">
        <f>IFERROR(G51/G52,0)</f>
        <v/>
      </c>
      <c r="H63" s="43">
        <f>IFERROR(H51/H52,0)</f>
        <v/>
      </c>
      <c r="I63" s="43">
        <f>IFERROR(I51/I52,0)</f>
        <v/>
      </c>
      <c r="J63" s="43">
        <f>IFERROR(J51/J52,0)</f>
        <v/>
      </c>
      <c r="K63" s="43">
        <f>IFERROR(K51/K52,0)</f>
        <v/>
      </c>
      <c r="L63" s="43">
        <f>IFERROR(L51/L52,0)</f>
        <v/>
      </c>
    </row>
    <row r="64">
      <c r="A64" s="13" t="inlineStr">
        <is>
          <t>Check</t>
        </is>
      </c>
      <c r="C64" s="54">
        <f>SUM(C58:C63)</f>
        <v/>
      </c>
      <c r="D64" s="54">
        <f>SUM(D58:D63)</f>
        <v/>
      </c>
      <c r="E64" s="54">
        <f>SUM(E58:E63)</f>
        <v/>
      </c>
      <c r="F64" s="54">
        <f>SUM(F58:F63)</f>
        <v/>
      </c>
      <c r="G64" s="54">
        <f>SUM(G58:G63)</f>
        <v/>
      </c>
      <c r="H64" s="54">
        <f>SUM(H58:H63)</f>
        <v/>
      </c>
      <c r="I64" s="54">
        <f>SUM(I58:I63)</f>
        <v/>
      </c>
      <c r="J64" s="54">
        <f>SUM(J58:J63)</f>
        <v/>
      </c>
      <c r="K64" s="54">
        <f>SUM(K58:K63)</f>
        <v/>
      </c>
      <c r="L64" s="54">
        <f>SUM(L58:L63)</f>
        <v/>
      </c>
    </row>
  </sheetData>
  <mergeCells count="4">
    <mergeCell ref="A28:L28"/>
    <mergeCell ref="A2:N2"/>
    <mergeCell ref="A40:L40"/>
    <mergeCell ref="A1:N1"/>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38"/>
  <sheetViews>
    <sheetView showGridLines="0" workbookViewId="0">
      <selection activeCell="A1" sqref="A1"/>
    </sheetView>
  </sheetViews>
  <sheetFormatPr baseColWidth="8" defaultRowHeight="15"/>
  <cols>
    <col width="48" customWidth="1" min="1" max="1"/>
    <col width="14" customWidth="1" min="2" max="2"/>
    <col width="14" customWidth="1" min="3" max="3"/>
    <col width="14" customWidth="1" min="4" max="4"/>
    <col width="3" customWidth="1" min="5" max="5"/>
    <col width="7" customWidth="1" min="6" max="6"/>
    <col width="8" customWidth="1" min="7" max="7"/>
  </cols>
  <sheetData>
    <row r="1" ht="22" customHeight="1">
      <c r="A1" s="1" t="inlineStr">
        <is>
          <t>Scenarios</t>
        </is>
      </c>
    </row>
    <row r="2" ht="15" customHeight="1">
      <c r="A2" s="3" t="inlineStr">
        <is>
          <t>Terminal ceilings are set to sourced outcomes: the bear case is the ADR wrapper, the bull case is the domestic equity ETF wrapper.</t>
        </is>
      </c>
    </row>
    <row r="4" ht="16" customHeight="1">
      <c r="A4" s="4" t="inlineStr">
        <is>
          <t>TERMINAL PENETRATION CEILINGS</t>
        </is>
      </c>
      <c r="B4" s="5" t="n"/>
      <c r="C4" s="5" t="n"/>
      <c r="D4" s="5" t="n"/>
      <c r="E4" s="5" t="n"/>
      <c r="F4" s="5" t="n"/>
      <c r="G4" s="5" t="n"/>
    </row>
    <row r="5">
      <c r="A5" s="14" t="inlineStr"/>
      <c r="B5" s="17" t="inlineStr">
        <is>
          <t>Bear</t>
        </is>
      </c>
      <c r="C5" s="17" t="inlineStr">
        <is>
          <t>Base</t>
        </is>
      </c>
      <c r="D5" s="17" t="inlineStr">
        <is>
          <t>Bull</t>
        </is>
      </c>
    </row>
    <row r="6">
      <c r="A6" s="9" t="inlineStr">
        <is>
          <t>Russell 1000</t>
        </is>
      </c>
      <c r="B6" s="26" t="n">
        <v>0.02</v>
      </c>
      <c r="C6" s="28">
        <f>Inputs!B38</f>
        <v/>
      </c>
      <c r="D6" s="26" t="n">
        <v>0.13</v>
      </c>
    </row>
    <row r="7">
      <c r="A7" s="9" t="inlineStr">
        <is>
          <t>Russell 2000</t>
        </is>
      </c>
      <c r="B7" s="26" t="n">
        <v>0.012</v>
      </c>
      <c r="C7" s="28">
        <f>Inputs!B39</f>
        <v/>
      </c>
      <c r="D7" s="26" t="n">
        <v>0.08</v>
      </c>
    </row>
    <row r="8">
      <c r="A8" s="9" t="inlineStr">
        <is>
          <t>Other listed</t>
        </is>
      </c>
      <c r="B8" s="26" t="n">
        <v>0.005</v>
      </c>
      <c r="C8" s="28">
        <f>Inputs!B40</f>
        <v/>
      </c>
      <c r="D8" s="26" t="n">
        <v>0.03</v>
      </c>
    </row>
    <row r="10">
      <c r="A10" s="15" t="inlineStr">
        <is>
          <t>Anchoring</t>
        </is>
      </c>
      <c r="B10" s="19" t="inlineStr">
        <is>
          <t>ADR outcome</t>
        </is>
      </c>
      <c r="C10" s="19" t="inlineStr">
        <is>
          <t>between</t>
        </is>
      </c>
      <c r="D10" s="19" t="inlineStr">
        <is>
          <t>ETF outcome</t>
        </is>
      </c>
    </row>
    <row r="11">
      <c r="A11" s="9" t="inlineStr">
        <is>
          <t>Sourced reference: DR value held / US market cap</t>
        </is>
      </c>
      <c r="B11" s="28">
        <f>Inputs!B37</f>
        <v/>
      </c>
      <c r="F11" s="19" t="inlineStr">
        <is>
          <t>S13</t>
        </is>
      </c>
      <c r="G11" s="16">
        <f>HYPERLINK("https://www.bny.com/assets/corporate/documents/pdf/year-In-review-v8.pdf","open")</f>
        <v/>
      </c>
    </row>
    <row r="12">
      <c r="A12" s="9" t="inlineStr">
        <is>
          <t>Sourced reference: domestic equity ETF assets / US market cap</t>
        </is>
      </c>
      <c r="D12" s="28">
        <f>Inputs!B36</f>
        <v/>
      </c>
      <c r="F12" s="19" t="inlineStr">
        <is>
          <t>S10</t>
        </is>
      </c>
      <c r="G12" s="16">
        <f>HYPERLINK("https://www.ici.org/research/stats/etf/etfs_04_26","open")</f>
        <v/>
      </c>
    </row>
    <row r="14" ht="16" customHeight="1">
      <c r="A14" s="4" t="inlineStr">
        <is>
          <t>CURVE STEEPNESS AND SOLVED INFLECTION YEAR</t>
        </is>
      </c>
      <c r="B14" s="5" t="n"/>
      <c r="C14" s="5" t="n"/>
      <c r="D14" s="5" t="n"/>
      <c r="E14" s="5" t="n"/>
      <c r="F14" s="5" t="n"/>
      <c r="G14" s="5" t="n"/>
    </row>
    <row r="15" ht="28" customHeight="1">
      <c r="A15" s="23" t="inlineStr">
        <is>
          <t>Each scenario varies both the ceiling and the steepness, then solves its own inflection year so that every scenario curve still passes through the same observed 2026 base. A lower ceiling inflects earlier because the curve has less distance to travel - that is the arithmetic, not an error.</t>
        </is>
      </c>
    </row>
    <row r="16">
      <c r="A16" s="14" t="inlineStr"/>
      <c r="B16" s="17" t="inlineStr">
        <is>
          <t>Bear</t>
        </is>
      </c>
      <c r="C16" s="17" t="inlineStr">
        <is>
          <t>Base</t>
        </is>
      </c>
      <c r="D16" s="17" t="inlineStr">
        <is>
          <t>Bull</t>
        </is>
      </c>
    </row>
    <row r="17">
      <c r="A17" s="9" t="inlineStr">
        <is>
          <t>Logistic steepness k</t>
        </is>
      </c>
      <c r="B17" s="25" t="n">
        <v>0.75</v>
      </c>
      <c r="C17" s="29">
        <f>Inputs!B41</f>
        <v/>
      </c>
      <c r="D17" s="25" t="n">
        <v>1.1</v>
      </c>
    </row>
    <row r="18">
      <c r="A18" s="9" t="inlineStr">
        <is>
          <t>Solved inflection year t0</t>
        </is>
      </c>
      <c r="B18" s="55">
        <f>2026+LN(B6/Penetration!$B$7-1)/B$17</f>
        <v/>
      </c>
      <c r="C18" s="55">
        <f>2026+LN(C6/Penetration!$B$7-1)/C$17</f>
        <v/>
      </c>
      <c r="D18" s="55">
        <f>2026+LN(D6/Penetration!$B$7-1)/D$17</f>
        <v/>
      </c>
    </row>
    <row r="20" ht="16" customHeight="1">
      <c r="A20" s="4" t="inlineStr">
        <is>
          <t>TERMINAL YEAR 2035 - TOKENIZED MARKET CAP ($Bn)</t>
        </is>
      </c>
      <c r="B20" s="5" t="n"/>
      <c r="C20" s="5" t="n"/>
      <c r="D20" s="5" t="n"/>
      <c r="E20" s="5" t="n"/>
      <c r="F20" s="5" t="n"/>
      <c r="G20" s="5" t="n"/>
    </row>
    <row r="21">
      <c r="A21" s="14" t="inlineStr"/>
      <c r="B21" s="17" t="inlineStr">
        <is>
          <t>Bear</t>
        </is>
      </c>
      <c r="C21" s="17" t="inlineStr">
        <is>
          <t>Base</t>
        </is>
      </c>
      <c r="D21" s="17" t="inlineStr">
        <is>
          <t>Bull</t>
        </is>
      </c>
    </row>
    <row r="22">
      <c r="A22" s="9" t="inlineStr">
        <is>
          <t>Russell 1000</t>
        </is>
      </c>
      <c r="B22" s="24">
        <f>Projection!L6*(B6/(1+EXP(-B$17*(2035-B$18))))</f>
        <v/>
      </c>
      <c r="C22" s="24">
        <f>Projection!L6*(C6/(1+EXP(-C$17*(2035-C$18))))</f>
        <v/>
      </c>
      <c r="D22" s="24">
        <f>Projection!L6*(D6/(1+EXP(-D$17*(2035-D$18))))</f>
        <v/>
      </c>
    </row>
    <row r="23">
      <c r="A23" s="9" t="inlineStr">
        <is>
          <t>Russell 2000</t>
        </is>
      </c>
      <c r="B23" s="24">
        <f>Projection!L7*(B7/(1+EXP(-B$17*(2035-B$18-Inputs!$B$42))))</f>
        <v/>
      </c>
      <c r="C23" s="24">
        <f>Projection!L7*(C7/(1+EXP(-C$17*(2035-C$18-Inputs!$B$42))))</f>
        <v/>
      </c>
      <c r="D23" s="24">
        <f>Projection!L7*(D7/(1+EXP(-D$17*(2035-D$18-Inputs!$B$42))))</f>
        <v/>
      </c>
    </row>
    <row r="24">
      <c r="A24" s="9" t="inlineStr">
        <is>
          <t>Other listed</t>
        </is>
      </c>
      <c r="B24" s="24">
        <f>Projection!L8*(B8/(1+EXP(-B$17*(2035-B$18-Inputs!$B$43))))</f>
        <v/>
      </c>
      <c r="C24" s="24">
        <f>Projection!L8*(C8/(1+EXP(-C$17*(2035-C$18-Inputs!$B$43))))</f>
        <v/>
      </c>
      <c r="D24" s="24">
        <f>Projection!L8*(D8/(1+EXP(-D$17*(2035-D$18-Inputs!$B$43))))</f>
        <v/>
      </c>
    </row>
    <row r="25">
      <c r="A25" s="15" t="inlineStr">
        <is>
          <t>Total tokenized market cap ($Bn)</t>
        </is>
      </c>
      <c r="B25" s="56">
        <f>SUM(B22:B24)</f>
        <v/>
      </c>
      <c r="C25" s="56">
        <f>SUM(C22:C24)</f>
        <v/>
      </c>
      <c r="D25" s="56">
        <f>SUM(D22:D24)</f>
        <v/>
      </c>
    </row>
    <row r="26">
      <c r="A26" s="9" t="inlineStr">
        <is>
          <t>Blended penetration of US market cap</t>
        </is>
      </c>
      <c r="B26" s="57">
        <f>B25/Projection!L9</f>
        <v/>
      </c>
      <c r="C26" s="57">
        <f>C25/Projection!L9</f>
        <v/>
      </c>
      <c r="D26" s="57">
        <f>D25/Projection!L9</f>
        <v/>
      </c>
    </row>
    <row r="28" ht="16" customHeight="1">
      <c r="A28" s="4" t="inlineStr">
        <is>
          <t>TERMINAL YEAR 2035 - REVENUE POOL ($M)</t>
        </is>
      </c>
      <c r="B28" s="5" t="n"/>
      <c r="C28" s="5" t="n"/>
      <c r="D28" s="5" t="n"/>
      <c r="E28" s="5" t="n"/>
      <c r="F28" s="5" t="n"/>
      <c r="G28" s="5" t="n"/>
    </row>
    <row r="29" ht="26" customHeight="1">
      <c r="A29" s="23" t="inlineStr">
        <is>
          <t>Scales the base-case 2035 revenue pool by each scenario's tokenized market cap. Rate assumptions are held constant across scenarios so the sensitivity shown is penetration only.</t>
        </is>
      </c>
    </row>
    <row r="30">
      <c r="A30" s="14" t="inlineStr"/>
      <c r="B30" s="17" t="inlineStr">
        <is>
          <t>Bear</t>
        </is>
      </c>
      <c r="C30" s="17" t="inlineStr">
        <is>
          <t>Base</t>
        </is>
      </c>
      <c r="D30" s="17" t="inlineStr">
        <is>
          <t>Bull</t>
        </is>
      </c>
    </row>
    <row r="31">
      <c r="A31" s="9" t="inlineStr">
        <is>
          <t>1  Trading</t>
        </is>
      </c>
      <c r="B31" s="24">
        <f>'Revenue Pools'!L13*B25/Projection!L22</f>
        <v/>
      </c>
      <c r="C31" s="24">
        <f>'Revenue Pools'!L13*C25/Projection!L22</f>
        <v/>
      </c>
      <c r="D31" s="24">
        <f>'Revenue Pools'!L13*D25/Projection!L22</f>
        <v/>
      </c>
    </row>
    <row r="32">
      <c r="A32" s="9" t="inlineStr">
        <is>
          <t>2  Securities lending</t>
        </is>
      </c>
      <c r="B32" s="24">
        <f>'Revenue Pools'!L19*B25/Projection!L22</f>
        <v/>
      </c>
      <c r="C32" s="24">
        <f>'Revenue Pools'!L19*C25/Projection!L22</f>
        <v/>
      </c>
      <c r="D32" s="24">
        <f>'Revenue Pools'!L19*D25/Projection!L22</f>
        <v/>
      </c>
    </row>
    <row r="33">
      <c r="A33" s="9" t="inlineStr">
        <is>
          <t>3  Custody and prime</t>
        </is>
      </c>
      <c r="B33" s="24">
        <f>'Revenue Pools'!L25*B25/Projection!L22</f>
        <v/>
      </c>
      <c r="C33" s="24">
        <f>'Revenue Pools'!L25*C25/Projection!L22</f>
        <v/>
      </c>
      <c r="D33" s="24">
        <f>'Revenue Pools'!L25*D25/Projection!L22</f>
        <v/>
      </c>
    </row>
    <row r="34">
      <c r="A34" s="9" t="inlineStr">
        <is>
          <t>4  Tokenization and servicing</t>
        </is>
      </c>
      <c r="B34" s="24">
        <f>'Revenue Pools'!L33*B25/Projection!L22</f>
        <v/>
      </c>
      <c r="C34" s="24">
        <f>'Revenue Pools'!L33*C25/Projection!L22</f>
        <v/>
      </c>
      <c r="D34" s="24">
        <f>'Revenue Pools'!L33*D25/Projection!L22</f>
        <v/>
      </c>
    </row>
    <row r="35">
      <c r="A35" s="9" t="inlineStr">
        <is>
          <t>5  Market data and index</t>
        </is>
      </c>
      <c r="B35" s="24">
        <f>'Revenue Pools'!L37*B25/Projection!L22</f>
        <v/>
      </c>
      <c r="C35" s="24">
        <f>'Revenue Pools'!L37*C25/Projection!L22</f>
        <v/>
      </c>
      <c r="D35" s="24">
        <f>'Revenue Pools'!L37*D25/Projection!L22</f>
        <v/>
      </c>
    </row>
    <row r="36">
      <c r="A36" s="9" t="inlineStr">
        <is>
          <t>6  Settlement and clearing</t>
        </is>
      </c>
      <c r="B36" s="24">
        <f>'Revenue Pools'!L42*B25/Projection!L22</f>
        <v/>
      </c>
      <c r="C36" s="24">
        <f>'Revenue Pools'!L42*C25/Projection!L22</f>
        <v/>
      </c>
      <c r="D36" s="24">
        <f>'Revenue Pools'!L42*D25/Projection!L22</f>
        <v/>
      </c>
    </row>
    <row r="37">
      <c r="A37" s="15" t="inlineStr">
        <is>
          <t>TOTAL REVENUE POOL 2035 ($M)</t>
        </is>
      </c>
      <c r="B37" s="58">
        <f>SUM(B31:B36)</f>
        <v/>
      </c>
      <c r="C37" s="58">
        <f>SUM(C31:C36)</f>
        <v/>
      </c>
      <c r="D37" s="58">
        <f>SUM(D31:D36)</f>
        <v/>
      </c>
    </row>
    <row r="38">
      <c r="A38" s="15" t="inlineStr">
        <is>
          <t>Total revenue pool 2035 ($Bn)</t>
        </is>
      </c>
      <c r="B38" s="59">
        <f>B37/1000</f>
        <v/>
      </c>
      <c r="C38" s="59">
        <f>C37/1000</f>
        <v/>
      </c>
      <c r="D38" s="59">
        <f>D37/1000</f>
        <v/>
      </c>
    </row>
  </sheetData>
  <mergeCells count="4">
    <mergeCell ref="A2:G2"/>
    <mergeCell ref="A1:G1"/>
    <mergeCell ref="A29:G29"/>
    <mergeCell ref="A15:G15"/>
  </mergeCells>
  <printOptions horizontalCentered="0"/>
  <pageMargins left="0.3" right="0.3" top="0.4" bottom="0.4" header="0.5" footer="0.5"/>
  <pageSetup orientation="landscape" fitToHeight="1" fitToWidth="1"/>
  <headerFooter>
    <oddHeader/>
    <oddFooter>&amp;R&amp;8 &amp;A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40"/>
  <sheetViews>
    <sheetView showGridLines="0" workbookViewId="0">
      <selection activeCell="A1" sqref="A1"/>
    </sheetView>
  </sheetViews>
  <sheetFormatPr baseColWidth="8" defaultRowHeight="15"/>
  <cols>
    <col width="46" customWidth="1" min="1" max="1"/>
    <col width="18" customWidth="1" min="2" max="2"/>
    <col width="14" customWidth="1" min="3" max="3"/>
    <col width="46" customWidth="1" min="4" max="4"/>
    <col width="3" customWidth="1" min="5" max="5"/>
    <col width="7" customWidth="1" min="6" max="6"/>
    <col width="8" customWidth="1" min="7" max="7"/>
  </cols>
  <sheetData>
    <row r="1" ht="22" customHeight="1">
      <c r="A1" s="1" t="inlineStr">
        <is>
          <t>Wrapper Analogues</t>
        </is>
      </c>
    </row>
    <row r="2" ht="15" customHeight="1">
      <c r="A2" s="3" t="inlineStr">
        <is>
          <t>Only figures that appear in a linked primary document. v6.1's 33-year ETF and 36-year ADR series were unsourced and have been removed, not carried forward.</t>
        </is>
      </c>
    </row>
    <row r="4" ht="16" customHeight="1">
      <c r="A4" s="4" t="inlineStr">
        <is>
          <t>THE ETF WRAPPER - HIGH OUTCOME</t>
        </is>
      </c>
      <c r="B4" s="5" t="n"/>
      <c r="C4" s="5" t="n"/>
      <c r="D4" s="5" t="n"/>
      <c r="E4" s="5" t="n"/>
      <c r="F4" s="5" t="n"/>
      <c r="G4" s="5" t="n"/>
    </row>
    <row r="5">
      <c r="A5" s="12" t="inlineStr">
        <is>
          <t>Metric</t>
        </is>
      </c>
      <c r="B5" s="12" t="inlineStr">
        <is>
          <t>Value</t>
        </is>
      </c>
      <c r="C5" s="12" t="inlineStr">
        <is>
          <t>As of</t>
        </is>
      </c>
      <c r="D5" s="12" t="inlineStr">
        <is>
          <t>Note</t>
        </is>
      </c>
    </row>
    <row r="6">
      <c r="A6" s="9" t="inlineStr">
        <is>
          <t>First US ETF launched (SPY)</t>
        </is>
      </c>
      <c r="B6" s="60" t="inlineStr">
        <is>
          <t>1993</t>
        </is>
      </c>
      <c r="C6" s="13" t="inlineStr">
        <is>
          <t>-</t>
        </is>
      </c>
      <c r="D6" s="20" t="inlineStr">
        <is>
          <t>Defines year 0 for the adoption curve</t>
        </is>
      </c>
    </row>
    <row r="7">
      <c r="A7" s="9" t="inlineStr">
        <is>
          <t>ETF total net assets</t>
        </is>
      </c>
      <c r="B7" s="60" t="inlineStr">
        <is>
          <t>13,373</t>
        </is>
      </c>
      <c r="C7" s="13" t="inlineStr">
        <is>
          <t>31-Dec-25</t>
        </is>
      </c>
      <c r="D7" s="20" t="inlineStr">
        <is>
          <t>ICI 2026 Fact Book Figure 2.1</t>
        </is>
      </c>
      <c r="F7" s="19" t="inlineStr">
        <is>
          <t>S11</t>
        </is>
      </c>
      <c r="G7" s="16">
        <f>HYPERLINK("https://icifactbook.org/pdf/2026-factbook-ch2.pdf","open")</f>
        <v/>
      </c>
    </row>
    <row r="8">
      <c r="A8" s="9" t="inlineStr">
        <is>
          <t>Number of ETFs</t>
        </is>
      </c>
      <c r="B8" s="60" t="inlineStr">
        <is>
          <t>4,813</t>
        </is>
      </c>
      <c r="C8" s="13" t="inlineStr">
        <is>
          <t>31-Dec-25</t>
        </is>
      </c>
      <c r="D8" s="20" t="inlineStr">
        <is>
          <t>ICI 2026 Fact Book Figure 2.1</t>
        </is>
      </c>
      <c r="F8" s="19" t="inlineStr">
        <is>
          <t>S11</t>
        </is>
      </c>
      <c r="G8" s="16">
        <f>HYPERLINK("https://icifactbook.org/pdf/2026-factbook-ch2.pdf","open")</f>
        <v/>
      </c>
    </row>
    <row r="9">
      <c r="A9" s="9" t="inlineStr">
        <is>
          <t>ETF total net assets</t>
        </is>
      </c>
      <c r="B9" s="60" t="inlineStr">
        <is>
          <t>15,703</t>
        </is>
      </c>
      <c r="C9" s="13" t="inlineStr">
        <is>
          <t>30-Jun-26</t>
        </is>
      </c>
      <c r="D9" s="20" t="inlineStr">
        <is>
          <t>ICI monthly ETF release</t>
        </is>
      </c>
      <c r="F9" s="19" t="inlineStr">
        <is>
          <t>S10</t>
        </is>
      </c>
      <c r="G9" s="16">
        <f>HYPERLINK("https://www.ici.org/research/stats/etf/etfs_04_26","open")</f>
        <v/>
      </c>
    </row>
    <row r="10">
      <c r="A10" s="9" t="inlineStr">
        <is>
          <t>of which domestic equity</t>
        </is>
      </c>
      <c r="B10" s="60" t="inlineStr">
        <is>
          <t>10,150</t>
        </is>
      </c>
      <c r="C10" s="13" t="inlineStr">
        <is>
          <t>30-Jun-26</t>
        </is>
      </c>
      <c r="D10" s="20" t="inlineStr">
        <is>
          <t>The correct numerator for an equity penetration measure</t>
        </is>
      </c>
      <c r="F10" s="19" t="inlineStr">
        <is>
          <t>S10</t>
        </is>
      </c>
      <c r="G10" s="16">
        <f>HYPERLINK("https://www.ici.org/research/stats/etf/etfs_04_26","open")</f>
        <v/>
      </c>
    </row>
    <row r="11">
      <c r="A11" s="9" t="inlineStr">
        <is>
          <t>of which bond</t>
        </is>
      </c>
      <c r="B11" s="60" t="inlineStr">
        <is>
          <t>2,550</t>
        </is>
      </c>
      <c r="C11" s="13" t="inlineStr">
        <is>
          <t>30-Jun-26</t>
        </is>
      </c>
      <c r="D11" s="20" t="inlineStr">
        <is>
          <t>Not equity. v6.1 included this in its penetration ratio</t>
        </is>
      </c>
      <c r="F11" s="19" t="inlineStr">
        <is>
          <t>S10</t>
        </is>
      </c>
      <c r="G11" s="16">
        <f>HYPERLINK("https://www.ici.org/research/stats/etf/etfs_04_26","open")</f>
        <v/>
      </c>
    </row>
    <row r="12">
      <c r="A12" s="9" t="inlineStr">
        <is>
          <t>of which global / international equity</t>
        </is>
      </c>
      <c r="B12" s="60" t="inlineStr">
        <is>
          <t>2,630</t>
        </is>
      </c>
      <c r="C12" s="13" t="inlineStr">
        <is>
          <t>30-Jun-26</t>
        </is>
      </c>
      <c r="D12" s="20" t="inlineStr">
        <is>
          <t>Not US equity. v6.1 included this too</t>
        </is>
      </c>
      <c r="F12" s="19" t="inlineStr">
        <is>
          <t>S10</t>
        </is>
      </c>
      <c r="G12" s="16">
        <f>HYPERLINK("https://www.ici.org/research/stats/etf/etfs_04_26","open")</f>
        <v/>
      </c>
    </row>
    <row r="13">
      <c r="A13" s="9" t="inlineStr">
        <is>
          <t>ETF net assets, YE2000</t>
        </is>
      </c>
      <c r="B13" s="60" t="inlineStr">
        <is>
          <t>66</t>
        </is>
      </c>
      <c r="C13" s="13" t="inlineStr">
        <is>
          <t>31-Dec-00</t>
        </is>
      </c>
      <c r="D13" s="20" t="inlineStr">
        <is>
          <t>ICI 2024 Fact Book Figure 4.1 - year 8</t>
        </is>
      </c>
      <c r="F13" s="19" t="inlineStr">
        <is>
          <t>S12</t>
        </is>
      </c>
      <c r="G13" s="16">
        <f>HYPERLINK("https://icifactbook.org/pdf/2024-factbook-ch4.pdf","open")</f>
        <v/>
      </c>
    </row>
    <row r="14">
      <c r="A14" s="9" t="inlineStr">
        <is>
          <t>ETF net assets, YE2005</t>
        </is>
      </c>
      <c r="B14" s="60" t="inlineStr">
        <is>
          <t>301</t>
        </is>
      </c>
      <c r="C14" s="13" t="inlineStr">
        <is>
          <t>31-Dec-05</t>
        </is>
      </c>
      <c r="D14" s="20" t="inlineStr">
        <is>
          <t>ICI 2024 Fact Book Figure 4.1 - year 13</t>
        </is>
      </c>
      <c r="F14" s="19" t="inlineStr">
        <is>
          <t>S12</t>
        </is>
      </c>
      <c r="G14" s="16">
        <f>HYPERLINK("https://icifactbook.org/pdf/2024-factbook-ch4.pdf","open")</f>
        <v/>
      </c>
    </row>
    <row r="15">
      <c r="A15" s="9" t="inlineStr">
        <is>
          <t>ETF net assets, YE2010</t>
        </is>
      </c>
      <c r="B15" s="60" t="inlineStr">
        <is>
          <t>992</t>
        </is>
      </c>
      <c r="C15" s="13" t="inlineStr">
        <is>
          <t>31-Dec-10</t>
        </is>
      </c>
      <c r="D15" s="20" t="inlineStr">
        <is>
          <t>ICI 2024 Fact Book Figure 4.1 - year 18</t>
        </is>
      </c>
      <c r="F15" s="19" t="inlineStr">
        <is>
          <t>S12</t>
        </is>
      </c>
      <c r="G15" s="16">
        <f>HYPERLINK("https://icifactbook.org/pdf/2024-factbook-ch4.pdf","open")</f>
        <v/>
      </c>
    </row>
    <row r="16">
      <c r="A16" s="15" t="inlineStr">
        <is>
          <t>Domestic equity ETF penetration of US market cap</t>
        </is>
      </c>
      <c r="B16" s="61">
        <f>Inputs!B36</f>
        <v/>
      </c>
      <c r="C16" s="13" t="inlineStr">
        <is>
          <t>30-Jun-26</t>
        </is>
      </c>
      <c r="D16" s="20" t="inlineStr">
        <is>
          <t>33 years after launch. On v6.1's all-ETF basis this reads 20.4%, which is not an equity penetration figure.</t>
        </is>
      </c>
    </row>
    <row r="17">
      <c r="A17" s="9" t="inlineStr">
        <is>
          <t>Cross-check: ICI index domestic equity funds + ETFs / US market cap</t>
        </is>
      </c>
      <c r="B17" s="28" t="n">
        <v>0.19</v>
      </c>
      <c r="C17" s="13" t="inlineStr">
        <is>
          <t>31-Dec-25</t>
        </is>
      </c>
      <c r="D17" s="20" t="inlineStr">
        <is>
          <t>ICI 2026 Fact Book Figure 2.6. Includes index mutual funds as well as ETFs, so it sits above the ETF-only figure as expected</t>
        </is>
      </c>
      <c r="F17" s="19" t="inlineStr">
        <is>
          <t>S11</t>
        </is>
      </c>
      <c r="G17" s="16">
        <f>HYPERLINK("https://icifactbook.org/pdf/2026-factbook-ch2.pdf","open")</f>
        <v/>
      </c>
    </row>
    <row r="19" ht="16" customHeight="1">
      <c r="A19" s="4" t="inlineStr">
        <is>
          <t>THE DR / ADR WRAPPER - LOW OUTCOME</t>
        </is>
      </c>
      <c r="B19" s="5" t="n"/>
      <c r="C19" s="5" t="n"/>
      <c r="D19" s="5" t="n"/>
      <c r="E19" s="5" t="n"/>
      <c r="F19" s="5" t="n"/>
      <c r="G19" s="5" t="n"/>
    </row>
    <row r="20">
      <c r="A20" s="12" t="inlineStr">
        <is>
          <t>Metric</t>
        </is>
      </c>
      <c r="B20" s="12" t="inlineStr">
        <is>
          <t>Value</t>
        </is>
      </c>
      <c r="C20" s="12" t="inlineStr">
        <is>
          <t>As of</t>
        </is>
      </c>
      <c r="D20" s="12" t="inlineStr">
        <is>
          <t>Note</t>
        </is>
      </c>
    </row>
    <row r="21">
      <c r="A21" s="9" t="inlineStr">
        <is>
          <t>DR value traded ($Bn)</t>
        </is>
      </c>
      <c r="B21" s="60" t="inlineStr">
        <is>
          <t>6,600</t>
        </is>
      </c>
      <c r="C21" s="13" t="inlineStr">
        <is>
          <t>FY2025</t>
        </is>
      </c>
      <c r="D21" s="20" t="inlineStr">
        <is>
          <t>BNY DR Market Review 2025</t>
        </is>
      </c>
      <c r="F21" s="19" t="inlineStr">
        <is>
          <t>S13</t>
        </is>
      </c>
      <c r="G21" s="16">
        <f>HYPERLINK("https://www.bny.com/assets/corporate/documents/pdf/year-In-review-v8.pdf","open")</f>
        <v/>
      </c>
    </row>
    <row r="22">
      <c r="A22" s="9" t="inlineStr">
        <is>
          <t>DR value held ($Bn)</t>
        </is>
      </c>
      <c r="B22" s="60" t="inlineStr">
        <is>
          <t>1,200</t>
        </is>
      </c>
      <c r="C22" s="13" t="inlineStr">
        <is>
          <t>31-Dec-25</t>
        </is>
      </c>
      <c r="D22" s="20" t="inlineStr">
        <is>
          <t>of which North American investors hold $930bn</t>
        </is>
      </c>
      <c r="F22" s="19" t="inlineStr">
        <is>
          <t>S13</t>
        </is>
      </c>
      <c r="G22" s="16">
        <f>HYPERLINK("https://www.bny.com/assets/corporate/documents/pdf/year-In-review-v8.pdf","open")</f>
        <v/>
      </c>
    </row>
    <row r="23">
      <c r="A23" s="9" t="inlineStr">
        <is>
          <t>DR programs outstanding</t>
        </is>
      </c>
      <c r="B23" s="60" t="inlineStr">
        <is>
          <t>2,885</t>
        </is>
      </c>
      <c r="C23" s="13" t="inlineStr">
        <is>
          <t>Q4 2025</t>
        </is>
      </c>
      <c r="D23" s="20" t="inlineStr">
        <is>
          <t>Across all depositary banks</t>
        </is>
      </c>
      <c r="F23" s="19" t="inlineStr">
        <is>
          <t>S13</t>
        </is>
      </c>
      <c r="G23" s="16">
        <f>HYPERLINK("https://www.bny.com/assets/corporate/documents/pdf/year-In-review-v8.pdf","open")</f>
        <v/>
      </c>
    </row>
    <row r="24">
      <c r="A24" s="15" t="inlineStr">
        <is>
          <t>DR value held / US equity market cap</t>
        </is>
      </c>
      <c r="B24" s="61">
        <f>Inputs!B37</f>
        <v/>
      </c>
      <c r="C24" s="13" t="inlineStr">
        <is>
          <t>2026</t>
        </is>
      </c>
      <c r="D24" s="20" t="inlineStr">
        <is>
          <t>36 years after the DR market scaled. v6.1 modelled 4-11% on a fabricated series; the sourced figure is materially lower</t>
        </is>
      </c>
    </row>
    <row r="25">
      <c r="A25" s="9" t="inlineStr">
        <is>
          <t>DR value traded / US equity value traded</t>
        </is>
      </c>
      <c r="B25" s="28">
        <f>6600/(Inputs!B8*Inputs!B10)</f>
        <v/>
      </c>
      <c r="C25" s="13" t="inlineStr">
        <is>
          <t>FY2025</t>
        </is>
      </c>
      <c r="D25" s="20" t="inlineStr">
        <is>
          <t>DR trading is global, so this overstates the US-only share. Directionally consistent with v6.1's 2-6% band</t>
        </is>
      </c>
    </row>
    <row r="27" ht="16" customHeight="1">
      <c r="A27" s="4" t="inlineStr">
        <is>
          <t>THE TOKENIZED WRAPPER - WHERE IT STANDS TODAY</t>
        </is>
      </c>
      <c r="B27" s="5" t="n"/>
      <c r="C27" s="5" t="n"/>
      <c r="D27" s="5" t="n"/>
      <c r="E27" s="5" t="n"/>
      <c r="F27" s="5" t="n"/>
      <c r="G27" s="5" t="n"/>
    </row>
    <row r="28">
      <c r="A28" s="12" t="inlineStr">
        <is>
          <t>Metric</t>
        </is>
      </c>
      <c r="B28" s="12" t="inlineStr">
        <is>
          <t>Value</t>
        </is>
      </c>
      <c r="C28" s="12" t="inlineStr">
        <is>
          <t>As of</t>
        </is>
      </c>
      <c r="D28" s="12" t="inlineStr">
        <is>
          <t>Note</t>
        </is>
      </c>
    </row>
    <row r="29" ht="24" customHeight="1">
      <c r="A29" s="9" t="inlineStr">
        <is>
          <t>Tokenized equities on-chain value ($Bn)</t>
        </is>
      </c>
      <c r="B29" s="60" t="inlineStr">
        <is>
          <t>2.8</t>
        </is>
      </c>
      <c r="C29" s="13" t="inlineStr">
        <is>
          <t>26-Aug-26</t>
        </is>
      </c>
      <c r="D29" s="20" t="inlineStr">
        <is>
          <t>Token Terminal. Cross-checks to $2.5bn on rwa.xyz 13 days earlier</t>
        </is>
      </c>
      <c r="F29" s="19" t="inlineStr">
        <is>
          <t>S07</t>
        </is>
      </c>
      <c r="G29" s="16">
        <f>HYPERLINK("https://www.cryptotimes.io/2026/08/27/tokenized-rwa-market-hits-44-7b-as-funds-hold-76-4-share/","open")</f>
        <v/>
      </c>
    </row>
    <row r="30" ht="24" customHeight="1">
      <c r="A30" s="9" t="inlineStr">
        <is>
          <t>Total tokenized RWA market ($Bn)</t>
        </is>
      </c>
      <c r="B30" s="60" t="inlineStr">
        <is>
          <t>44.7</t>
        </is>
      </c>
      <c r="C30" s="13" t="inlineStr">
        <is>
          <t>26-Aug-26</t>
        </is>
      </c>
      <c r="D30" s="20" t="inlineStr">
        <is>
          <t>Tokenized funds $34.1bn, commodities $7.7bn, stocks $2.8bn</t>
        </is>
      </c>
      <c r="F30" s="19" t="inlineStr">
        <is>
          <t>S07</t>
        </is>
      </c>
      <c r="G30" s="16">
        <f>HYPERLINK("https://www.cryptotimes.io/2026/08/27/tokenized-rwa-market-hits-44-7b-as-funds-hold-76-4-share/","open")</f>
        <v/>
      </c>
    </row>
    <row r="31" ht="24" customHeight="1">
      <c r="A31" s="9" t="inlineStr">
        <is>
          <t>Token holders</t>
        </is>
      </c>
      <c r="B31" s="60" t="inlineStr">
        <is>
          <t>~1.18m</t>
        </is>
      </c>
      <c r="C31" s="13" t="inlineStr">
        <is>
          <t>13-Aug-26</t>
        </is>
      </c>
      <c r="D31" s="20" t="inlineStr">
        <is>
          <t>rwa.xyz via Crypto Briefing</t>
        </is>
      </c>
      <c r="F31" s="19" t="inlineStr">
        <is>
          <t>S08</t>
        </is>
      </c>
      <c r="G31" s="16">
        <f>HYPERLINK("https://cryptobriefing.com/tokenized-stocks-rwa-market-cap-share/","open")</f>
        <v/>
      </c>
    </row>
    <row r="32" ht="24" customHeight="1">
      <c r="A32" s="9" t="inlineStr">
        <is>
          <t>DTCC no-action letter</t>
        </is>
      </c>
      <c r="B32" s="60" t="inlineStr">
        <is>
          <t>11-Dec-25</t>
        </is>
      </c>
      <c r="C32" s="13" t="inlineStr">
        <is>
          <t>-</t>
        </is>
      </c>
      <c r="D32" s="20" t="inlineStr">
        <is>
          <t>Scoped to the Russell 1000, index ETFs and US Treasuries. Three-year term</t>
        </is>
      </c>
      <c r="F32" s="19" t="inlineStr">
        <is>
          <t>S05</t>
        </is>
      </c>
      <c r="G32" s="16">
        <f>HYPERLINK("https://www.dtcc.com/news/2025/december/11/paving-the-way-to-tokenized-dtc-custodied-assets","open")</f>
        <v/>
      </c>
    </row>
    <row r="33" ht="24" customHeight="1">
      <c r="A33" s="9" t="inlineStr">
        <is>
          <t>DTCC platform launch</t>
        </is>
      </c>
      <c r="B33" s="60" t="inlineStr">
        <is>
          <t>Oct-2026</t>
        </is>
      </c>
      <c r="C33" s="13" t="inlineStr">
        <is>
          <t>-</t>
        </is>
      </c>
      <c r="D33" s="20" t="inlineStr">
        <is>
          <t>July 2026 pilot, October 2026 launch</t>
        </is>
      </c>
      <c r="F33" s="19" t="inlineStr">
        <is>
          <t>S06</t>
        </is>
      </c>
      <c r="G33" s="16">
        <f>HYPERLINK("https://www.coindesk.com/business/2026/05/04/wall-street-giant-dtcc-plans-tokenized-securities-platform-with-july-pilot-october-launch","open")</f>
        <v/>
      </c>
    </row>
    <row r="34" ht="24" customHeight="1">
      <c r="A34" s="9" t="inlineStr">
        <is>
          <t>CLARITY Act (H.R.3633)</t>
        </is>
      </c>
      <c r="B34" s="60" t="inlineStr">
        <is>
          <t>Not enacted</t>
        </is>
      </c>
      <c r="C34" s="13" t="inlineStr">
        <is>
          <t>31-Jul-26</t>
        </is>
      </c>
      <c r="D34" s="20" t="inlineStr">
        <is>
          <t>House passed 294-134 on 17-Jul-25; Senate Banking advanced 15-9 on 14-May-26; Senate Calendar No. 423</t>
        </is>
      </c>
      <c r="F34" s="19" t="inlineStr">
        <is>
          <t>S27</t>
        </is>
      </c>
      <c r="G34" s="16">
        <f>HYPERLINK("https://www.disruptionbanking.com/2026/07/31/clarity-act-update-where-the-crypto-market-structure-bill-stands-right-now/","open")</f>
        <v/>
      </c>
    </row>
    <row r="36" ht="16" customHeight="1">
      <c r="A36" s="4" t="inlineStr">
        <is>
          <t>WHAT THE EVIDENCE SAYS ABOUT SEQUENCING</t>
        </is>
      </c>
      <c r="B36" s="5" t="n"/>
      <c r="C36" s="5" t="n"/>
      <c r="D36" s="5" t="n"/>
      <c r="E36" s="5" t="n"/>
      <c r="F36" s="5" t="n"/>
      <c r="G36" s="5" t="n"/>
    </row>
    <row r="37" ht="30" customHeight="1">
      <c r="A37" s="7" t="inlineStr">
        <is>
          <t>v6.1 assumed illiquid small caps tokenize first, on the reasoning that they gain most from 24/7 trading and fractional access. The observable evidence points the other way. The SEC's no-action letter scopes DTCC's service to the Russell 1000. Every one of the ten largest tokenized stocks - Tesla, Alphabet, Nvidia, Circle, Invesco QQQ, SPY, MicroStrategy, Apple, Coinbase, GLD - is a mega cap or an index ETF. Tokenization is following demand for global access to the names investors already want, not liquidity repair for names they do not. The model is now ordered accordingly, with the Russell 1000 leading and the other segments lagging behind fresh regulatory relief.</t>
        </is>
      </c>
    </row>
    <row r="38"/>
    <row r="39"/>
    <row r="40"/>
  </sheetData>
  <mergeCells count="3">
    <mergeCell ref="A1:G1"/>
    <mergeCell ref="A2:G2"/>
    <mergeCell ref="A37:D40"/>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55"/>
  <sheetViews>
    <sheetView showGridLines="0" workbookViewId="0">
      <selection activeCell="A1" sqref="A1"/>
    </sheetView>
  </sheetViews>
  <sheetFormatPr baseColWidth="8" defaultRowHeight="15"/>
  <cols>
    <col width="56" customWidth="1" min="1" max="1"/>
    <col width="16" customWidth="1" min="2" max="2"/>
    <col width="16" customWidth="1" min="3" max="3"/>
    <col width="12" customWidth="1" min="4" max="4"/>
    <col width="62" customWidth="1" min="5" max="5"/>
    <col width="4" customWidth="1" min="6" max="6"/>
  </cols>
  <sheetData>
    <row r="1" ht="22" customHeight="1">
      <c r="A1" s="1" t="inlineStr">
        <is>
          <t>Audit</t>
        </is>
      </c>
    </row>
    <row r="2" ht="15" customHeight="1">
      <c r="A2" s="3" t="inlineStr">
        <is>
          <t>Internal consistency checks and a complete register of every forecast cell in the model.</t>
        </is>
      </c>
    </row>
    <row r="4" ht="16" customHeight="1">
      <c r="A4" s="4" t="inlineStr">
        <is>
          <t>INTERNAL CONSISTENCY CHECKS</t>
        </is>
      </c>
      <c r="B4" s="5" t="n"/>
      <c r="C4" s="5" t="n"/>
      <c r="D4" s="5" t="n"/>
      <c r="E4" s="5" t="n"/>
      <c r="F4" s="5" t="n"/>
    </row>
    <row r="5">
      <c r="A5" s="14" t="inlineStr">
        <is>
          <t>Check</t>
        </is>
      </c>
      <c r="B5" s="17" t="inlineStr">
        <is>
          <t>Computed</t>
        </is>
      </c>
      <c r="C5" s="17" t="inlineStr">
        <is>
          <t>Expected</t>
        </is>
      </c>
      <c r="D5" s="17" t="inlineStr">
        <is>
          <t>Result</t>
        </is>
      </c>
    </row>
    <row r="6">
      <c r="A6" s="9" t="inlineStr">
        <is>
          <t>Segment market caps sum to the SIFMA total</t>
        </is>
      </c>
      <c r="B6" s="24">
        <f>Inputs!B19+Inputs!B18+Inputs!B20</f>
        <v/>
      </c>
      <c r="C6" s="24">
        <f>Inputs!B6</f>
        <v/>
      </c>
      <c r="D6" s="62">
        <f>IF(ABS(B6-C6)&lt;=ABS(C6)*0.0001+0.000001,"PASS","FAIL")</f>
        <v/>
      </c>
    </row>
    <row r="7">
      <c r="A7" s="9" t="inlineStr">
        <is>
          <t>Segment company counts sum to the SIFMA total</t>
        </is>
      </c>
      <c r="B7" s="24">
        <f>Inputs!B21+Inputs!B22+Inputs!B23</f>
        <v/>
      </c>
      <c r="C7" s="24">
        <f>Inputs!B7</f>
        <v/>
      </c>
      <c r="D7" s="62">
        <f>IF(ABS(B7-C7)&lt;=ABS(C7)*0.0001+0.000001,"PASS","FAIL")</f>
        <v/>
      </c>
    </row>
    <row r="8">
      <c r="A8" s="9" t="inlineStr">
        <is>
          <t>Projection year 1 market cap equals the input market cap</t>
        </is>
      </c>
      <c r="B8" s="24">
        <f>Projection!C9</f>
        <v/>
      </c>
      <c r="C8" s="24">
        <f>Inputs!B6</f>
        <v/>
      </c>
      <c r="D8" s="62">
        <f>IF(ABS(B8-C8)&lt;=ABS(C8)*0.0001+0.000001,"PASS","FAIL")</f>
        <v/>
      </c>
    </row>
    <row r="9">
      <c r="A9" s="9" t="inlineStr">
        <is>
          <t>Adoption curve passes through the observed 2026 base ($Bn)</t>
        </is>
      </c>
      <c r="B9" s="29">
        <f>Projection!C19</f>
        <v/>
      </c>
      <c r="C9" s="29">
        <f>Inputs!B28*Inputs!B30</f>
        <v/>
      </c>
      <c r="D9" s="62">
        <f>IF(ABS(B9-C9)&lt;=ABS(C9)*0.0001+0.000001,"PASS","FAIL")</f>
        <v/>
      </c>
    </row>
    <row r="10">
      <c r="A10" s="9" t="inlineStr">
        <is>
          <t>Revenue mix sums to 100% in the terminal year</t>
        </is>
      </c>
      <c r="B10" s="28">
        <f>'Revenue Pools'!L64</f>
        <v/>
      </c>
      <c r="C10" s="28">
        <f>1</f>
        <v/>
      </c>
      <c r="D10" s="62">
        <f>IF(ABS(B10-C10)&lt;=ABS(C10)*0.0001+0.000001,"PASS","FAIL")</f>
        <v/>
      </c>
    </row>
    <row r="11">
      <c r="A11" s="9" t="inlineStr">
        <is>
          <t>Revenue pool components sum to the stated total ($M)</t>
        </is>
      </c>
      <c r="B11" s="24">
        <f>'Revenue Pools'!L52</f>
        <v/>
      </c>
      <c r="C11" s="24">
        <f>SUM('Revenue Pools'!L46:L51)</f>
        <v/>
      </c>
      <c r="D11" s="62">
        <f>IF(ABS(B11-C11)&lt;=ABS(C11)*0.0001+0.000001,"PASS","FAIL")</f>
        <v/>
      </c>
    </row>
    <row r="12">
      <c r="A12" s="9" t="inlineStr">
        <is>
          <t>Base scenario terminal market cap equals the projection ($Bn)</t>
        </is>
      </c>
      <c r="B12" s="24">
        <f>Scenarios!C25</f>
        <v/>
      </c>
      <c r="C12" s="24">
        <f>Projection!L22</f>
        <v/>
      </c>
      <c r="D12" s="62">
        <f>IF(ABS(B12-C12)&lt;=ABS(C12)*0.0001+0.000001,"PASS","FAIL")</f>
        <v/>
      </c>
    </row>
    <row r="13">
      <c r="A13" s="9" t="inlineStr">
        <is>
          <t>Base scenario terminal revenue equals the projection ($M)</t>
        </is>
      </c>
      <c r="B13" s="24">
        <f>Scenarios!C37</f>
        <v/>
      </c>
      <c r="C13" s="24">
        <f>'Revenue Pools'!L52</f>
        <v/>
      </c>
      <c r="D13" s="62">
        <f>IF(ABS(B13-C13)&lt;=ABS(C13)*0.0001+0.000001,"PASS","FAIL")</f>
        <v/>
      </c>
    </row>
    <row r="14">
      <c r="A14" s="9" t="inlineStr">
        <is>
          <t>Implied US turnover is consistent with the ADV input</t>
        </is>
      </c>
      <c r="B14" s="22">
        <f>Inputs!B12</f>
        <v/>
      </c>
      <c r="C14" s="22">
        <f>Inputs!B8*Inputs!B10/Inputs!B11</f>
        <v/>
      </c>
      <c r="D14" s="62">
        <f>IF(ABS(B14-C14)&lt;=ABS(C14)*0.0001+0.000001,"PASS","FAIL")</f>
        <v/>
      </c>
    </row>
    <row r="15">
      <c r="A15" s="15" t="inlineStr">
        <is>
          <t>All checks</t>
        </is>
      </c>
      <c r="D15" s="62">
        <f>IF(COUNTIF(D6:D14,"FAIL")=0,"ALL PASS","SEE FAILURES")</f>
        <v/>
      </c>
    </row>
    <row r="17" ht="16" customHeight="1">
      <c r="A17" s="4" t="inlineStr">
        <is>
          <t>OVERRIDE STATUS</t>
        </is>
      </c>
      <c r="B17" s="5" t="n"/>
      <c r="C17" s="5" t="n"/>
      <c r="D17" s="5" t="n"/>
      <c r="E17" s="5" t="n"/>
      <c r="F17" s="5" t="n"/>
    </row>
    <row r="18" ht="28" customHeight="1">
      <c r="A18" s="9" t="inlineStr">
        <is>
          <t>Penetration override cells currently in use</t>
        </is>
      </c>
      <c r="B18" s="24">
        <f>SUM(Penetration!C27:L27)</f>
        <v/>
      </c>
      <c r="E18" s="20" t="inlineStr">
        <is>
          <t>Zero means the model is running purely on the fitted curve. Any non-zero value means a manual path has been imposed somewhere - check the Penetration tab before circulating.</t>
        </is>
      </c>
    </row>
    <row r="20" ht="16" customHeight="1">
      <c r="A20" s="4" t="inlineStr">
        <is>
          <t>FORECAST REGISTER - EVERY JUDGEMENT IN THE MODEL</t>
        </is>
      </c>
      <c r="B20" s="5" t="n"/>
      <c r="C20" s="5" t="n"/>
      <c r="D20" s="5" t="n"/>
      <c r="E20" s="5" t="n"/>
      <c r="F20" s="5" t="n"/>
    </row>
    <row r="21">
      <c r="A21" s="23" t="inlineStr">
        <is>
          <t>These are the only cells in the workbook that are not either a verified figure or arithmetic on verified figures. Nothing else is assumed.</t>
        </is>
      </c>
    </row>
    <row r="22">
      <c r="A22" s="12" t="inlineStr">
        <is>
          <t>Forecast input</t>
        </is>
      </c>
      <c r="B22" s="12" t="inlineStr">
        <is>
          <t>Cell</t>
        </is>
      </c>
      <c r="C22" s="12" t="inlineStr">
        <is>
          <t>Value</t>
        </is>
      </c>
      <c r="D22" s="12" t="inlineStr"/>
      <c r="E22" s="12" t="inlineStr">
        <is>
          <t>Bracketed by these sourced reference points</t>
        </is>
      </c>
    </row>
    <row r="23" ht="30" customHeight="1">
      <c r="A23" s="9" t="inlineStr">
        <is>
          <t>Terminal ceiling - Russell 1000</t>
        </is>
      </c>
      <c r="B23" s="13" t="inlineStr">
        <is>
          <t>Inputs!B38</t>
        </is>
      </c>
      <c r="C23" s="26">
        <f>Inputs!B38</f>
        <v/>
      </c>
      <c r="E23" s="20" t="inlineStr">
        <is>
          <t>Low: DR value held 1.6% of US market cap (S13). High: domestic equity ETF assets 13.2% (S10).</t>
        </is>
      </c>
    </row>
    <row r="24" ht="30" customHeight="1">
      <c r="A24" s="9" t="inlineStr">
        <is>
          <t>Terminal ceiling - Russell 2000</t>
        </is>
      </c>
      <c r="B24" s="13" t="inlineStr">
        <is>
          <t>Inputs!B39</t>
        </is>
      </c>
      <c r="C24" s="26">
        <f>Inputs!B39</f>
        <v/>
      </c>
      <c r="E24" s="20" t="inlineStr">
        <is>
          <t>Same bracket, set below the Russell 1000 ceiling because the segment sits outside the DTCC no-action perimeter (S05).</t>
        </is>
      </c>
    </row>
    <row r="25" ht="30" customHeight="1">
      <c r="A25" s="9" t="inlineStr">
        <is>
          <t>Terminal ceiling - other listed</t>
        </is>
      </c>
      <c r="B25" s="13" t="inlineStr">
        <is>
          <t>Inputs!B40</t>
        </is>
      </c>
      <c r="C25" s="26">
        <f>Inputs!B40</f>
        <v/>
      </c>
      <c r="E25" s="20" t="inlineStr">
        <is>
          <t>Set at the DR outcome. Micro caps lack the global retail demand that drives the observed tokenized universe (S09).</t>
        </is>
      </c>
    </row>
    <row r="26" ht="30" customHeight="1">
      <c r="A26" s="9" t="inlineStr">
        <is>
          <t>Logistic steepness k</t>
        </is>
      </c>
      <c r="B26" s="13" t="inlineStr">
        <is>
          <t>Inputs!B41</t>
        </is>
      </c>
      <c r="C26" s="25">
        <f>Inputs!B41</f>
        <v/>
      </c>
      <c r="E26" s="20" t="inlineStr">
        <is>
          <t>Shape only. The ETF wrapper took 33 years to reach 13.2%; k=0.9 implies a materially faster curve, which the model treats as the base case because tokenization is infrastructure migration rather than a new product.</t>
        </is>
      </c>
    </row>
    <row r="27" ht="30" customHeight="1">
      <c r="A27" s="9" t="inlineStr">
        <is>
          <t>Adoption lag - Russell 2000</t>
        </is>
      </c>
      <c r="B27" s="13" t="inlineStr">
        <is>
          <t>Inputs!B42</t>
        </is>
      </c>
      <c r="C27" s="18">
        <f>Inputs!B42</f>
        <v/>
      </c>
      <c r="E27" s="20" t="inlineStr">
        <is>
          <t>The current no-action letter runs three years from 11-Dec-25 and covers the Russell 1000 only (S05).</t>
        </is>
      </c>
    </row>
    <row r="28" ht="30" customHeight="1">
      <c r="A28" s="9" t="inlineStr">
        <is>
          <t>Adoption lag - other listed</t>
        </is>
      </c>
      <c r="B28" s="13" t="inlineStr">
        <is>
          <t>Inputs!B43</t>
        </is>
      </c>
      <c r="C28" s="18">
        <f>Inputs!B43</f>
        <v/>
      </c>
      <c r="E28" s="20" t="inlineStr">
        <is>
          <t>Two further relief cycles beyond the Russell 2000.</t>
        </is>
      </c>
    </row>
    <row r="29" ht="30" customHeight="1">
      <c r="A29" s="9" t="inlineStr">
        <is>
          <t>Equity market cap growth p.a.</t>
        </is>
      </c>
      <c r="B29" s="13" t="inlineStr">
        <is>
          <t>Inputs!B44</t>
        </is>
      </c>
      <c r="C29" s="26">
        <f>Inputs!B44</f>
        <v/>
      </c>
      <c r="E29" s="20" t="inlineStr">
        <is>
          <t>Long-run nominal. Applied uniformly, so it cancels out of every penetration ratio and affects only absolute dollar levels.</t>
        </is>
      </c>
    </row>
    <row r="30" ht="30" customHeight="1">
      <c r="A30" s="9" t="inlineStr">
        <is>
          <t>Crypto-venue share of volume, 2026 / 2035</t>
        </is>
      </c>
      <c r="B30" s="13" t="inlineStr">
        <is>
          <t>Inputs!B67:C67</t>
        </is>
      </c>
      <c r="C30" s="26">
        <f>Inputs!B67</f>
        <v/>
      </c>
      <c r="E30" s="20" t="inlineStr">
        <is>
          <t>Blends Coinbase institutional spot at 8.6bps (S16) with Robinhood retail equity at 1.3bps (S17). Both endpoints are disclosed; only the weighting is judged.</t>
        </is>
      </c>
    </row>
    <row r="31" ht="30" customHeight="1">
      <c r="A31" s="9" t="inlineStr">
        <is>
          <t>Tokenized turnover vs US turnover, 2026 / 2035</t>
        </is>
      </c>
      <c r="B31" s="13" t="inlineStr">
        <is>
          <t>Inputs!B68:C68</t>
        </is>
      </c>
      <c r="C31" s="26">
        <f>Inputs!B68</f>
        <v/>
      </c>
      <c r="E31" s="20" t="inlineStr">
        <is>
          <t>Applied to the derived 4.0x US turnover (S03, S28). Converges to parity by 2035.</t>
        </is>
      </c>
    </row>
    <row r="32" ht="30" customHeight="1">
      <c r="A32" s="9" t="inlineStr">
        <is>
          <t>Lendable share of tokenized cap, 2026 / 2035</t>
        </is>
      </c>
      <c r="B32" s="13" t="inlineStr">
        <is>
          <t>Inputs!B69:C69</t>
        </is>
      </c>
      <c r="C32" s="26">
        <f>Inputs!B69</f>
        <v/>
      </c>
      <c r="E32" s="20" t="inlineStr">
        <is>
          <t>Utilisation itself is not judged - it is the disclosed 6.96% from S&amp;P Global (S14).</t>
        </is>
      </c>
    </row>
    <row r="33" ht="30" customHeight="1">
      <c r="A33" s="9" t="inlineStr">
        <is>
          <t>Institutional custody share, 2026 / 2035</t>
        </is>
      </c>
      <c r="B33" s="13" t="inlineStr">
        <is>
          <t>Inputs!B70:C70</t>
        </is>
      </c>
      <c r="C33" s="26">
        <f>Inputs!B70</f>
        <v/>
      </c>
      <c r="E33" s="20" t="inlineStr">
        <is>
          <t>The fee rate is not judged - it is BNY's disclosed 1.72bps (S19).</t>
        </is>
      </c>
    </row>
    <row r="34" ht="30" customHeight="1">
      <c r="A34" s="9" t="inlineStr">
        <is>
          <t>Digital custody premium over BNY rate</t>
        </is>
      </c>
      <c r="B34" s="13" t="inlineStr">
        <is>
          <t>Inputs!B71:C71</t>
        </is>
      </c>
      <c r="C34" s="21">
        <f>Inputs!B71</f>
        <v/>
      </c>
      <c r="E34" s="20" t="inlineStr">
        <is>
          <t>Coinbase folded custodial fee revenue into Other subscription revenue from Q1'25, so a digital-native custody rate is no longer derivable from public disclosure (S16). This premium is the honest placeholder for that gap.</t>
        </is>
      </c>
    </row>
    <row r="35" ht="30" customHeight="1">
      <c r="A35" s="9" t="inlineStr">
        <is>
          <t>Tokenization + servicing yield, 2026 / 2035</t>
        </is>
      </c>
      <c r="B35" s="13" t="inlineStr">
        <is>
          <t>Inputs!B72:C72</t>
        </is>
      </c>
      <c r="C35" s="21">
        <f>Inputs!B72</f>
        <v/>
      </c>
      <c r="E35" s="20" t="inlineStr">
        <is>
          <t>Bracketed by DTCC's 0.066bps utility servicing yield on listed securities (S31, S32) and Securitize's 134bps full-service fund tokenization yield (S24). Set near the low end because the wrapper is incremental to servicing that already happens, and because no tokenized equity platform publishes an explicit servicing fee (S33).</t>
        </is>
      </c>
    </row>
    <row r="36" ht="30" customHeight="1">
      <c r="A36" s="9" t="inlineStr">
        <is>
          <t>Share of observed base in Russell 1000</t>
        </is>
      </c>
      <c r="B36" s="13" t="inlineStr">
        <is>
          <t>Inputs!B30</t>
        </is>
      </c>
      <c r="C36" s="26">
        <f>Inputs!B30</f>
        <v/>
      </c>
      <c r="E36" s="20" t="inlineStr">
        <is>
          <t>Near-verified: all ten largest tokenized stocks are Russell 1000 constituents or index ETFs (S09). Set to 100% because no material tokenized small cap has been identified.</t>
        </is>
      </c>
    </row>
    <row r="38" ht="16" customHeight="1">
      <c r="A38" s="4" t="inlineStr">
        <is>
          <t>KNOWN LIMITATIONS - STATED RATHER THAN BURIED</t>
        </is>
      </c>
      <c r="B38" s="5" t="n"/>
      <c r="C38" s="5" t="n"/>
      <c r="D38" s="5" t="n"/>
      <c r="E38" s="5" t="n"/>
      <c r="F38" s="5" t="n"/>
    </row>
    <row r="39" ht="30" customHeight="1">
      <c r="A39" s="7" t="inlineStr">
        <is>
          <t>- Segment market caps are struck on two dates. SIFMA's $76.9T is at 30-Jun-26; the Russell figures are at the 30-Apr-26 rank day. The residual 'other listed' segment absorbs the 61-day gap, so its $1.3T is the least precise figure in the model.</t>
        </is>
      </c>
    </row>
    <row r="40" ht="30" customHeight="1">
      <c r="A40" s="7" t="inlineStr">
        <is>
          <t>- Securitize is a fund-tokenization business, not an equity-tokenization business. Its disclosed yield is the closest public comparable for pool 4 but the asset mix differs. No public company yet discloses equity-tokenization revenue against equity-tokenization AUM.</t>
        </is>
      </c>
    </row>
    <row r="41" ht="30" customHeight="1">
      <c r="A41" s="7" t="inlineStr">
        <is>
          <t>- The securities lending utilisation of 6.96% is a global all-asset-class figure. A US-equity-specific utilisation is not published free of charge; if you have S&amp;P Global terminal access, the Americas equity line in the monthly Securities Finance snapshot is the figure to substitute.</t>
        </is>
      </c>
    </row>
    <row r="42" ht="30" customHeight="1">
      <c r="A42" s="7" t="inlineStr">
        <is>
          <t>- The revenue pools are gross ecosystem pools, not any single firm's revenue. v6.1 applied a platform-share haircut to securities lending only, which made that pool non-comparable with the other five. The haircut has been removed rather than extended.</t>
        </is>
      </c>
    </row>
    <row r="43" ht="30" customHeight="1">
      <c r="A43" s="7" t="inlineStr">
        <is>
          <t>- Trading and settlement revenue both scale with the same volume figure, so they are correlated by construction. They are not double-counting - one is a fee on execution, the other a fee on clearing - but they will move together under any volume shock.</t>
        </is>
      </c>
    </row>
    <row r="44" ht="30" customHeight="1">
      <c r="A44" s="7" t="inlineStr">
        <is>
          <t>- The 2026 anchor is a point-in-time reading of a market that moves fast. Tokenized equity value roughly doubled over the twelve months to August 2026. Re-strike the anchor on Inputs before using the model in a note.</t>
        </is>
      </c>
    </row>
    <row r="45" ht="30" customHeight="1">
      <c r="A45" s="7" t="inlineStr">
        <is>
          <t>- The terminal revenue yield of roughly 28bps on tokenized market cap is well above what the traditional US equity ecosystem earns. It is driven almost entirely by one judgement: that 30% of tokenized volume still prices on crypto-venue terms (8.6bps) rather than retail equity terms (1.3bps) in 2035. If that share goes to zero the trading pool halves. This is the single most sensitive input in the revenue build - test it before quoting a number.</t>
        </is>
      </c>
    </row>
    <row r="47">
      <c r="A47" s="65" t="inlineStr">
        <is>
          <t>UPDATE LOG - 10-Sep-2026</t>
        </is>
      </c>
    </row>
    <row r="48">
      <c r="A48" s="64" t="inlineStr">
        <is>
          <t>1.</t>
        </is>
      </c>
      <c r="B48" s="64" t="inlineStr">
        <is>
          <t>S01 SIFMA 2Q26 re-opened and confirmed verbatim: market cap $76.9T, 5,532 listed companies. The +16.5% Q/Q move is SIFMA's own figure, not an error.</t>
        </is>
      </c>
    </row>
    <row r="49">
      <c r="A49" s="64" t="inlineStr">
        <is>
          <t>2.</t>
        </is>
      </c>
      <c r="B49" s="64" t="inlineStr">
        <is>
          <t>S04 LSEG Russell reconstitution re-opened and confirmed verbatim: Russell 3000 $75.6T on the 30-Apr-2026 rank day, Russell 2000 $3.5T, breakpoint $5.7bn.</t>
        </is>
      </c>
    </row>
    <row r="50">
      <c r="A50" s="64" t="inlineStr">
        <is>
          <t>3.</t>
        </is>
      </c>
      <c r="B50" s="64" t="inlineStr">
        <is>
          <t>S10 S&amp;P Global securities lending re-opened and confirmed verbatim: revenue $14.9bn, equities $11.5bn, lendable $46.7T, on-loan $3.25T.</t>
        </is>
      </c>
    </row>
    <row r="51">
      <c r="A51" s="64" t="inlineStr">
        <is>
          <t>4.</t>
        </is>
      </c>
      <c r="B51" s="64" t="inlineStr">
        <is>
          <t>S10 ICI refreshed from June to July 2026: domestic equity ETFs $10,090.4bn (was $10.15T), total ETFs $15.67T, 5,182 funds. Inputs B36 updated.</t>
        </is>
      </c>
    </row>
    <row r="52">
      <c r="A52" s="64" t="inlineStr">
        <is>
          <t>5.</t>
        </is>
      </c>
      <c r="B52" s="64" t="inlineStr">
        <is>
          <t>S22 NSCC fee guide now reads 0.46 on retrieval. The 0.44 rate is evidenced by SR-NSCC-2025-017 (S23), effective 01-Jan-2026. Inputs row 58 repointed to S23.</t>
        </is>
      </c>
    </row>
    <row r="53">
      <c r="A53" s="64" t="inlineStr">
        <is>
          <t>6.</t>
        </is>
      </c>
      <c r="B53" s="64" t="inlineStr">
        <is>
          <t>S06 replaced: CoinDesk secondary swapped for the DTCC primary release of 15-Jul-2026, which also carries the 100+ working group figure.</t>
        </is>
      </c>
    </row>
    <row r="54">
      <c r="A54" s="64" t="inlineStr">
        <is>
          <t>7.</t>
        </is>
      </c>
      <c r="B54" s="64" t="inlineStr">
        <is>
          <t>S34, S35, S36 added: DTCC live production trades page, Corp Fin Statement on Tokenized Securities, and the Nasdaq tokenized trading approval order.</t>
        </is>
      </c>
    </row>
    <row r="55">
      <c r="A55" s="64" t="inlineStr">
        <is>
          <t>8.</t>
        </is>
      </c>
      <c r="B55" s="64" t="inlineStr">
        <is>
          <t>Not refreshable at 10-Sep-2026: SIFMA 3Q26 and Securitize Q3'26 are not yet published; the quarter had not closed.</t>
        </is>
      </c>
    </row>
  </sheetData>
  <mergeCells count="10">
    <mergeCell ref="A21:E21"/>
    <mergeCell ref="A2:F2"/>
    <mergeCell ref="A39:E39"/>
    <mergeCell ref="A43:E43"/>
    <mergeCell ref="A1:F1"/>
    <mergeCell ref="A42:E42"/>
    <mergeCell ref="A41:E41"/>
    <mergeCell ref="A45:E45"/>
    <mergeCell ref="A44:E44"/>
    <mergeCell ref="A40:E40"/>
  </mergeCells>
  <printOptions horizontalCentered="0"/>
  <pageMargins left="0.3" right="0.3" top="0.4" bottom="0.4" header="0.5" footer="0.5"/>
  <pageSetup orientation="landscape" fitToHeight="0" fitToWidth="1"/>
  <headerFooter>
    <oddHeader/>
    <oddFooter>&amp;R&amp;8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2026-08-27T09:54:41Z</dcterms:created>
  <dcterms:modified xmlns:dcterms="http://purl.org/dc/terms/" xmlns:xsi="http://www.w3.org/2001/XMLSchema-instance" xsi:type="dcterms:W3CDTF">2026-09-10T05:38:25Z</dcterms:modified>
</cp:coreProperties>
</file>