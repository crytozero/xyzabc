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nskar\Downloads\"/>
    </mc:Choice>
  </mc:AlternateContent>
  <xr:revisionPtr revIDLastSave="0" documentId="8_{83F5B87B-FFC5-4270-AE2A-680DACA0AC56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Assumptions" sheetId="1" r:id="rId1"/>
    <sheet name="Projection" sheetId="2" r:id="rId2"/>
    <sheet name="Revenue Pools" sheetId="3" r:id="rId3"/>
    <sheet name="Scenarios" sheetId="4" r:id="rId4"/>
    <sheet name="Historical Analogue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6" i="5" l="1"/>
  <c r="M45" i="5"/>
  <c r="B45" i="5"/>
  <c r="J44" i="5"/>
  <c r="B44" i="5"/>
  <c r="B43" i="5"/>
  <c r="B42" i="5"/>
  <c r="M41" i="5"/>
  <c r="J41" i="5"/>
  <c r="B41" i="5"/>
  <c r="M40" i="5"/>
  <c r="J40" i="5"/>
  <c r="M39" i="5"/>
  <c r="J39" i="5"/>
  <c r="M38" i="5"/>
  <c r="J38" i="5"/>
  <c r="D38" i="5"/>
  <c r="M37" i="5"/>
  <c r="J37" i="5"/>
  <c r="D37" i="5"/>
  <c r="M36" i="5"/>
  <c r="J36" i="5"/>
  <c r="D36" i="5"/>
  <c r="M35" i="5"/>
  <c r="J35" i="5"/>
  <c r="D35" i="5"/>
  <c r="M34" i="5"/>
  <c r="J34" i="5"/>
  <c r="D34" i="5"/>
  <c r="M33" i="5"/>
  <c r="J33" i="5"/>
  <c r="D33" i="5"/>
  <c r="M32" i="5"/>
  <c r="J32" i="5"/>
  <c r="D32" i="5"/>
  <c r="M31" i="5"/>
  <c r="J31" i="5"/>
  <c r="D31" i="5"/>
  <c r="M30" i="5"/>
  <c r="J30" i="5"/>
  <c r="D30" i="5"/>
  <c r="M29" i="5"/>
  <c r="J29" i="5"/>
  <c r="D29" i="5"/>
  <c r="M28" i="5"/>
  <c r="J28" i="5"/>
  <c r="D28" i="5"/>
  <c r="M27" i="5"/>
  <c r="J27" i="5"/>
  <c r="D27" i="5"/>
  <c r="M26" i="5"/>
  <c r="J26" i="5"/>
  <c r="D26" i="5"/>
  <c r="M25" i="5"/>
  <c r="J25" i="5"/>
  <c r="D25" i="5"/>
  <c r="M24" i="5"/>
  <c r="J24" i="5"/>
  <c r="D24" i="5"/>
  <c r="M23" i="5"/>
  <c r="J23" i="5"/>
  <c r="D23" i="5"/>
  <c r="M22" i="5"/>
  <c r="J22" i="5"/>
  <c r="D22" i="5"/>
  <c r="M21" i="5"/>
  <c r="J21" i="5"/>
  <c r="D21" i="5"/>
  <c r="M20" i="5"/>
  <c r="J20" i="5"/>
  <c r="D20" i="5"/>
  <c r="M19" i="5"/>
  <c r="J19" i="5"/>
  <c r="D19" i="5"/>
  <c r="M18" i="5"/>
  <c r="J18" i="5"/>
  <c r="D18" i="5"/>
  <c r="M17" i="5"/>
  <c r="J17" i="5"/>
  <c r="D17" i="5"/>
  <c r="M16" i="5"/>
  <c r="J16" i="5"/>
  <c r="D16" i="5"/>
  <c r="M15" i="5"/>
  <c r="J15" i="5"/>
  <c r="D15" i="5"/>
  <c r="M14" i="5"/>
  <c r="J14" i="5"/>
  <c r="D14" i="5"/>
  <c r="M13" i="5"/>
  <c r="J13" i="5"/>
  <c r="D13" i="5"/>
  <c r="M12" i="5"/>
  <c r="J12" i="5"/>
  <c r="D12" i="5"/>
  <c r="M11" i="5"/>
  <c r="J11" i="5"/>
  <c r="D11" i="5"/>
  <c r="M10" i="5"/>
  <c r="J10" i="5"/>
  <c r="D10" i="5"/>
  <c r="M9" i="5"/>
  <c r="J9" i="5"/>
  <c r="D9" i="5"/>
  <c r="M8" i="5"/>
  <c r="J8" i="5"/>
  <c r="D8" i="5"/>
  <c r="M7" i="5"/>
  <c r="J7" i="5"/>
  <c r="D7" i="5"/>
  <c r="M6" i="5"/>
  <c r="J6" i="5"/>
  <c r="D6" i="5"/>
  <c r="B12" i="4"/>
  <c r="B11" i="4"/>
  <c r="B10" i="4"/>
  <c r="K31" i="2"/>
  <c r="J31" i="2"/>
  <c r="I31" i="2"/>
  <c r="H31" i="2"/>
  <c r="G31" i="2"/>
  <c r="F31" i="2"/>
  <c r="E31" i="2"/>
  <c r="D31" i="2"/>
  <c r="C31" i="2"/>
  <c r="B31" i="2"/>
  <c r="K30" i="2"/>
  <c r="J30" i="2"/>
  <c r="I30" i="2"/>
  <c r="H30" i="2"/>
  <c r="G30" i="2"/>
  <c r="F30" i="2"/>
  <c r="E30" i="2"/>
  <c r="D30" i="2"/>
  <c r="C30" i="2"/>
  <c r="B30" i="2"/>
  <c r="K29" i="2"/>
  <c r="J29" i="2"/>
  <c r="I29" i="2"/>
  <c r="H29" i="2"/>
  <c r="G29" i="2"/>
  <c r="F29" i="2"/>
  <c r="E29" i="2"/>
  <c r="D29" i="2"/>
  <c r="C29" i="2"/>
  <c r="B29" i="2"/>
  <c r="K13" i="2"/>
  <c r="J13" i="2"/>
  <c r="I13" i="2"/>
  <c r="H13" i="2"/>
  <c r="G13" i="2"/>
  <c r="F13" i="2"/>
  <c r="E13" i="2"/>
  <c r="D13" i="2"/>
  <c r="C13" i="2"/>
  <c r="B13" i="2"/>
  <c r="K12" i="2"/>
  <c r="J12" i="2"/>
  <c r="I12" i="2"/>
  <c r="H12" i="2"/>
  <c r="G12" i="2"/>
  <c r="F12" i="2"/>
  <c r="E12" i="2"/>
  <c r="D12" i="2"/>
  <c r="C12" i="2"/>
  <c r="B12" i="2"/>
  <c r="K11" i="2"/>
  <c r="J11" i="2"/>
  <c r="I11" i="2"/>
  <c r="H11" i="2"/>
  <c r="G11" i="2"/>
  <c r="F11" i="2"/>
  <c r="E11" i="2"/>
  <c r="D11" i="2"/>
  <c r="C11" i="2"/>
  <c r="B11" i="2"/>
  <c r="B7" i="2"/>
  <c r="B6" i="2"/>
  <c r="B5" i="2"/>
  <c r="D15" i="1"/>
  <c r="C15" i="1"/>
  <c r="B15" i="1"/>
  <c r="E13" i="1"/>
  <c r="E12" i="1"/>
  <c r="F62" i="5" l="1"/>
  <c r="C62" i="5"/>
  <c r="E61" i="5"/>
  <c r="J48" i="5"/>
  <c r="D44" i="5"/>
  <c r="D43" i="5"/>
  <c r="D42" i="5"/>
  <c r="D41" i="5"/>
  <c r="C18" i="4"/>
  <c r="B18" i="4"/>
  <c r="C17" i="4"/>
  <c r="C16" i="4"/>
  <c r="C20" i="4" s="1"/>
  <c r="C21" i="4" s="1"/>
  <c r="K32" i="2"/>
  <c r="J32" i="2"/>
  <c r="I32" i="2"/>
  <c r="H32" i="2"/>
  <c r="G32" i="2"/>
  <c r="F32" i="2"/>
  <c r="E32" i="2"/>
  <c r="D32" i="2"/>
  <c r="C32" i="2"/>
  <c r="B32" i="2"/>
  <c r="B18" i="2"/>
  <c r="B17" i="2"/>
  <c r="B16" i="2"/>
  <c r="B20" i="2" s="1"/>
  <c r="B8" i="2"/>
  <c r="C7" i="2"/>
  <c r="C6" i="2"/>
  <c r="C5" i="2"/>
  <c r="D14" i="1"/>
  <c r="C14" i="1"/>
  <c r="B14" i="1"/>
  <c r="E14" i="1" s="1"/>
  <c r="D62" i="5"/>
  <c r="G61" i="5"/>
  <c r="C61" i="5"/>
  <c r="J46" i="5"/>
  <c r="D46" i="5"/>
  <c r="G62" i="5"/>
  <c r="E62" i="5"/>
  <c r="F61" i="5"/>
  <c r="D61" i="5"/>
  <c r="M47" i="5"/>
  <c r="D45" i="5"/>
  <c r="D18" i="4"/>
  <c r="D17" i="4"/>
  <c r="B17" i="4"/>
  <c r="D16" i="4"/>
  <c r="D20" i="4" s="1"/>
  <c r="D21" i="4" s="1"/>
  <c r="B16" i="4"/>
  <c r="B20" i="4" s="1"/>
  <c r="B21" i="4" s="1"/>
  <c r="L32" i="3" l="1"/>
  <c r="L34" i="3" s="1"/>
  <c r="L36" i="3"/>
  <c r="L37" i="3" s="1"/>
  <c r="K32" i="3"/>
  <c r="K34" i="3" s="1"/>
  <c r="K36" i="3"/>
  <c r="K37" i="3" s="1"/>
  <c r="J32" i="3"/>
  <c r="J34" i="3" s="1"/>
  <c r="J36" i="3"/>
  <c r="J37" i="3" s="1"/>
  <c r="I32" i="3"/>
  <c r="I34" i="3" s="1"/>
  <c r="I36" i="3"/>
  <c r="I37" i="3" s="1"/>
  <c r="H32" i="3"/>
  <c r="H34" i="3" s="1"/>
  <c r="H38" i="3" s="1"/>
  <c r="H54" i="3" s="1"/>
  <c r="H36" i="3"/>
  <c r="H37" i="3" s="1"/>
  <c r="G32" i="3"/>
  <c r="G34" i="3" s="1"/>
  <c r="G36" i="3"/>
  <c r="G37" i="3" s="1"/>
  <c r="F32" i="3"/>
  <c r="F34" i="3" s="1"/>
  <c r="F36" i="3"/>
  <c r="F37" i="3" s="1"/>
  <c r="E32" i="3"/>
  <c r="E34" i="3" s="1"/>
  <c r="E36" i="3"/>
  <c r="E37" i="3" s="1"/>
  <c r="D32" i="3"/>
  <c r="D34" i="3" s="1"/>
  <c r="D36" i="3"/>
  <c r="D37" i="3" s="1"/>
  <c r="C32" i="3"/>
  <c r="C34" i="3" s="1"/>
  <c r="C38" i="3" s="1"/>
  <c r="C54" i="3" s="1"/>
  <c r="C36" i="3"/>
  <c r="C37" i="3" s="1"/>
  <c r="B21" i="2"/>
  <c r="B24" i="2"/>
  <c r="B25" i="2"/>
  <c r="B26" i="2"/>
  <c r="C6" i="3"/>
  <c r="C7" i="3" s="1"/>
  <c r="D7" i="2"/>
  <c r="C18" i="2"/>
  <c r="D6" i="2"/>
  <c r="C17" i="2"/>
  <c r="D5" i="2"/>
  <c r="C8" i="2"/>
  <c r="C16" i="2"/>
  <c r="C20" i="2" s="1"/>
  <c r="C11" i="3" l="1"/>
  <c r="C17" i="3"/>
  <c r="C19" i="3" s="1"/>
  <c r="C21" i="3" s="1"/>
  <c r="C23" i="3" s="1"/>
  <c r="C52" i="3" s="1"/>
  <c r="C27" i="3"/>
  <c r="C29" i="3" s="1"/>
  <c r="C53" i="3" s="1"/>
  <c r="C73" i="3"/>
  <c r="E7" i="2"/>
  <c r="D18" i="2"/>
  <c r="E6" i="2"/>
  <c r="D17" i="2"/>
  <c r="E5" i="2"/>
  <c r="D8" i="2"/>
  <c r="D16" i="2"/>
  <c r="D20" i="2" s="1"/>
  <c r="C21" i="2"/>
  <c r="C24" i="2"/>
  <c r="C25" i="2"/>
  <c r="C26" i="2"/>
  <c r="D6" i="3"/>
  <c r="D7" i="3" s="1"/>
  <c r="L38" i="3"/>
  <c r="L54" i="3" s="1"/>
  <c r="J38" i="3"/>
  <c r="J54" i="3" s="1"/>
  <c r="I38" i="3"/>
  <c r="I54" i="3" s="1"/>
  <c r="D38" i="3"/>
  <c r="D54" i="3" s="1"/>
  <c r="G38" i="3"/>
  <c r="G54" i="3" s="1"/>
  <c r="F38" i="3"/>
  <c r="F54" i="3" s="1"/>
  <c r="E38" i="3"/>
  <c r="E54" i="3" s="1"/>
  <c r="K38" i="3"/>
  <c r="K54" i="3" s="1"/>
  <c r="C13" i="3" l="1"/>
  <c r="C45" i="3"/>
  <c r="C48" i="3" s="1"/>
  <c r="C56" i="3" s="1"/>
  <c r="C75" i="3" s="1"/>
  <c r="F7" i="2"/>
  <c r="E18" i="2"/>
  <c r="F6" i="2"/>
  <c r="E17" i="2"/>
  <c r="F5" i="2"/>
  <c r="E8" i="2"/>
  <c r="E16" i="2"/>
  <c r="D21" i="2"/>
  <c r="D24" i="2"/>
  <c r="D25" i="2"/>
  <c r="D26" i="2"/>
  <c r="E6" i="3"/>
  <c r="E7" i="3" s="1"/>
  <c r="D11" i="3"/>
  <c r="D17" i="3"/>
  <c r="D19" i="3" s="1"/>
  <c r="D21" i="3" s="1"/>
  <c r="D23" i="3" s="1"/>
  <c r="D52" i="3" s="1"/>
  <c r="D27" i="3"/>
  <c r="D29" i="3" s="1"/>
  <c r="D53" i="3" s="1"/>
  <c r="D71" i="3"/>
  <c r="D72" i="3"/>
  <c r="D73" i="3"/>
  <c r="C71" i="3"/>
  <c r="C72" i="3"/>
  <c r="C42" i="3" l="1"/>
  <c r="C55" i="3" s="1"/>
  <c r="C74" i="3" s="1"/>
  <c r="C51" i="3"/>
  <c r="G7" i="2"/>
  <c r="F18" i="2"/>
  <c r="G6" i="2"/>
  <c r="F17" i="2"/>
  <c r="G5" i="2"/>
  <c r="F8" i="2"/>
  <c r="F16" i="2"/>
  <c r="F20" i="2" s="1"/>
  <c r="E11" i="3"/>
  <c r="E17" i="3"/>
  <c r="E19" i="3" s="1"/>
  <c r="E21" i="3" s="1"/>
  <c r="E23" i="3" s="1"/>
  <c r="E52" i="3" s="1"/>
  <c r="E27" i="3"/>
  <c r="E29" i="3" s="1"/>
  <c r="E53" i="3" s="1"/>
  <c r="E71" i="3"/>
  <c r="E72" i="3"/>
  <c r="E73" i="3"/>
  <c r="D13" i="3"/>
  <c r="D45" i="3"/>
  <c r="D48" i="3" s="1"/>
  <c r="D56" i="3" s="1"/>
  <c r="D75" i="3" s="1"/>
  <c r="E20" i="2"/>
  <c r="C70" i="3" l="1"/>
  <c r="C76" i="3" s="1"/>
  <c r="C57" i="3"/>
  <c r="H7" i="2"/>
  <c r="G18" i="2"/>
  <c r="H6" i="2"/>
  <c r="G17" i="2"/>
  <c r="H5" i="2"/>
  <c r="G8" i="2"/>
  <c r="G16" i="2"/>
  <c r="F21" i="2"/>
  <c r="C63" i="5" s="1"/>
  <c r="F24" i="2"/>
  <c r="F25" i="2"/>
  <c r="F26" i="2"/>
  <c r="G6" i="3"/>
  <c r="G7" i="3" s="1"/>
  <c r="E13" i="3"/>
  <c r="E45" i="3"/>
  <c r="E48" i="3" s="1"/>
  <c r="E56" i="3" s="1"/>
  <c r="E75" i="3" s="1"/>
  <c r="D42" i="3"/>
  <c r="D55" i="3" s="1"/>
  <c r="D74" i="3" s="1"/>
  <c r="D51" i="3"/>
  <c r="F6" i="3"/>
  <c r="F7" i="3" s="1"/>
  <c r="E26" i="2"/>
  <c r="E25" i="2"/>
  <c r="E24" i="2"/>
  <c r="E21" i="2"/>
  <c r="C58" i="3" l="1"/>
  <c r="C61" i="3"/>
  <c r="C67" i="3" s="1"/>
  <c r="C62" i="3"/>
  <c r="C63" i="3"/>
  <c r="C64" i="3"/>
  <c r="C65" i="3"/>
  <c r="C66" i="3"/>
  <c r="I7" i="2"/>
  <c r="H18" i="2"/>
  <c r="I6" i="2"/>
  <c r="H17" i="2"/>
  <c r="I5" i="2"/>
  <c r="H8" i="2"/>
  <c r="H16" i="2"/>
  <c r="G11" i="3"/>
  <c r="G17" i="3"/>
  <c r="G19" i="3" s="1"/>
  <c r="G21" i="3" s="1"/>
  <c r="G23" i="3" s="1"/>
  <c r="G52" i="3" s="1"/>
  <c r="G27" i="3"/>
  <c r="G29" i="3" s="1"/>
  <c r="G53" i="3" s="1"/>
  <c r="G71" i="3"/>
  <c r="G73" i="3"/>
  <c r="E42" i="3"/>
  <c r="E55" i="3" s="1"/>
  <c r="E74" i="3" s="1"/>
  <c r="E51" i="3"/>
  <c r="D70" i="3"/>
  <c r="D76" i="3" s="1"/>
  <c r="D57" i="3"/>
  <c r="F11" i="3"/>
  <c r="F17" i="3"/>
  <c r="F19" i="3" s="1"/>
  <c r="F21" i="3" s="1"/>
  <c r="F23" i="3" s="1"/>
  <c r="F52" i="3" s="1"/>
  <c r="F27" i="3"/>
  <c r="F29" i="3" s="1"/>
  <c r="F53" i="3" s="1"/>
  <c r="F71" i="3"/>
  <c r="F72" i="3"/>
  <c r="F73" i="3"/>
  <c r="G20" i="2"/>
  <c r="J7" i="2" l="1"/>
  <c r="I18" i="2"/>
  <c r="J6" i="2"/>
  <c r="I17" i="2"/>
  <c r="J5" i="2"/>
  <c r="I8" i="2"/>
  <c r="I16" i="2"/>
  <c r="I20" i="2" s="1"/>
  <c r="G13" i="3"/>
  <c r="G45" i="3"/>
  <c r="G48" i="3" s="1"/>
  <c r="G56" i="3" s="1"/>
  <c r="G75" i="3" s="1"/>
  <c r="E70" i="3"/>
  <c r="E76" i="3" s="1"/>
  <c r="E57" i="3"/>
  <c r="D58" i="3"/>
  <c r="D61" i="3"/>
  <c r="D62" i="3"/>
  <c r="D63" i="3"/>
  <c r="D64" i="3"/>
  <c r="D65" i="3"/>
  <c r="D66" i="3"/>
  <c r="F13" i="3"/>
  <c r="F45" i="3"/>
  <c r="F48" i="3" s="1"/>
  <c r="F56" i="3" s="1"/>
  <c r="F75" i="3" s="1"/>
  <c r="H6" i="3"/>
  <c r="H7" i="3" s="1"/>
  <c r="G26" i="2"/>
  <c r="G25" i="2"/>
  <c r="G24" i="2"/>
  <c r="G21" i="2"/>
  <c r="H20" i="2"/>
  <c r="G72" i="3"/>
  <c r="K7" i="2" l="1"/>
  <c r="K18" i="2" s="1"/>
  <c r="J18" i="2"/>
  <c r="K6" i="2"/>
  <c r="K17" i="2" s="1"/>
  <c r="J17" i="2"/>
  <c r="K5" i="2"/>
  <c r="J8" i="2"/>
  <c r="J16" i="2"/>
  <c r="J20" i="2" s="1"/>
  <c r="I21" i="2"/>
  <c r="I24" i="2"/>
  <c r="I25" i="2"/>
  <c r="I26" i="2"/>
  <c r="J6" i="3"/>
  <c r="J7" i="3" s="1"/>
  <c r="G42" i="3"/>
  <c r="G55" i="3" s="1"/>
  <c r="G74" i="3" s="1"/>
  <c r="G51" i="3"/>
  <c r="E58" i="3"/>
  <c r="E61" i="3"/>
  <c r="E62" i="3"/>
  <c r="E63" i="3"/>
  <c r="E64" i="3"/>
  <c r="E65" i="3"/>
  <c r="E66" i="3"/>
  <c r="F42" i="3"/>
  <c r="F55" i="3" s="1"/>
  <c r="F74" i="3" s="1"/>
  <c r="F51" i="3"/>
  <c r="H11" i="3"/>
  <c r="H17" i="3"/>
  <c r="H19" i="3" s="1"/>
  <c r="H21" i="3" s="1"/>
  <c r="H23" i="3" s="1"/>
  <c r="H52" i="3" s="1"/>
  <c r="H27" i="3"/>
  <c r="H29" i="3" s="1"/>
  <c r="H53" i="3" s="1"/>
  <c r="H73" i="3"/>
  <c r="I6" i="3"/>
  <c r="I7" i="3" s="1"/>
  <c r="H26" i="2"/>
  <c r="H25" i="2"/>
  <c r="H24" i="2"/>
  <c r="H21" i="2"/>
  <c r="D67" i="3"/>
  <c r="K8" i="2" l="1"/>
  <c r="K16" i="2"/>
  <c r="K20" i="2" s="1"/>
  <c r="J21" i="2"/>
  <c r="J24" i="2"/>
  <c r="J25" i="2"/>
  <c r="J26" i="2"/>
  <c r="K6" i="3"/>
  <c r="K7" i="3" s="1"/>
  <c r="J11" i="3"/>
  <c r="J17" i="3"/>
  <c r="J19" i="3" s="1"/>
  <c r="J21" i="3" s="1"/>
  <c r="J23" i="3" s="1"/>
  <c r="J52" i="3" s="1"/>
  <c r="J27" i="3"/>
  <c r="J29" i="3" s="1"/>
  <c r="J53" i="3" s="1"/>
  <c r="J71" i="3"/>
  <c r="J72" i="3"/>
  <c r="J73" i="3"/>
  <c r="G70" i="3"/>
  <c r="G76" i="3" s="1"/>
  <c r="G57" i="3"/>
  <c r="F70" i="3"/>
  <c r="F76" i="3" s="1"/>
  <c r="F57" i="3"/>
  <c r="H13" i="3"/>
  <c r="H45" i="3"/>
  <c r="H48" i="3" s="1"/>
  <c r="H56" i="3" s="1"/>
  <c r="H75" i="3" s="1"/>
  <c r="I11" i="3"/>
  <c r="I17" i="3"/>
  <c r="I19" i="3" s="1"/>
  <c r="I21" i="3" s="1"/>
  <c r="I23" i="3" s="1"/>
  <c r="I52" i="3" s="1"/>
  <c r="I27" i="3"/>
  <c r="I29" i="3" s="1"/>
  <c r="I53" i="3" s="1"/>
  <c r="I72" i="3"/>
  <c r="I73" i="3"/>
  <c r="H71" i="3"/>
  <c r="H72" i="3"/>
  <c r="E67" i="3"/>
  <c r="K21" i="2" l="1"/>
  <c r="D63" i="5" s="1"/>
  <c r="K24" i="2"/>
  <c r="K25" i="2"/>
  <c r="K26" i="2"/>
  <c r="L6" i="3"/>
  <c r="L7" i="3" s="1"/>
  <c r="K11" i="3"/>
  <c r="K17" i="3"/>
  <c r="K19" i="3" s="1"/>
  <c r="K21" i="3" s="1"/>
  <c r="K23" i="3" s="1"/>
  <c r="K52" i="3" s="1"/>
  <c r="K27" i="3"/>
  <c r="K29" i="3" s="1"/>
  <c r="K53" i="3" s="1"/>
  <c r="K71" i="3"/>
  <c r="K72" i="3"/>
  <c r="K73" i="3"/>
  <c r="J13" i="3"/>
  <c r="J45" i="3"/>
  <c r="J48" i="3" s="1"/>
  <c r="J56" i="3" s="1"/>
  <c r="J75" i="3" s="1"/>
  <c r="G58" i="3"/>
  <c r="G61" i="3"/>
  <c r="G62" i="3"/>
  <c r="G63" i="3"/>
  <c r="G64" i="3"/>
  <c r="G65" i="3"/>
  <c r="G66" i="3"/>
  <c r="F58" i="3"/>
  <c r="F61" i="3"/>
  <c r="F62" i="3"/>
  <c r="F63" i="3"/>
  <c r="F64" i="3"/>
  <c r="F65" i="3"/>
  <c r="F66" i="3"/>
  <c r="H42" i="3"/>
  <c r="H55" i="3" s="1"/>
  <c r="H74" i="3" s="1"/>
  <c r="H51" i="3"/>
  <c r="I13" i="3"/>
  <c r="I45" i="3"/>
  <c r="I48" i="3" s="1"/>
  <c r="I56" i="3" s="1"/>
  <c r="I75" i="3" s="1"/>
  <c r="I71" i="3"/>
  <c r="L11" i="3" l="1"/>
  <c r="L17" i="3"/>
  <c r="L19" i="3" s="1"/>
  <c r="L21" i="3" s="1"/>
  <c r="L23" i="3" s="1"/>
  <c r="L52" i="3" s="1"/>
  <c r="L27" i="3"/>
  <c r="L29" i="3" s="1"/>
  <c r="L53" i="3" s="1"/>
  <c r="L71" i="3"/>
  <c r="L72" i="3"/>
  <c r="L73" i="3"/>
  <c r="K13" i="3"/>
  <c r="K45" i="3"/>
  <c r="K48" i="3" s="1"/>
  <c r="K56" i="3" s="1"/>
  <c r="K75" i="3" s="1"/>
  <c r="J42" i="3"/>
  <c r="J55" i="3" s="1"/>
  <c r="J74" i="3" s="1"/>
  <c r="J51" i="3"/>
  <c r="H70" i="3"/>
  <c r="H76" i="3" s="1"/>
  <c r="H57" i="3"/>
  <c r="I42" i="3"/>
  <c r="I55" i="3" s="1"/>
  <c r="I74" i="3" s="1"/>
  <c r="I51" i="3"/>
  <c r="G67" i="3"/>
  <c r="F67" i="3"/>
  <c r="L13" i="3" l="1"/>
  <c r="L45" i="3"/>
  <c r="L48" i="3" s="1"/>
  <c r="L56" i="3" s="1"/>
  <c r="L75" i="3" s="1"/>
  <c r="K42" i="3"/>
  <c r="K55" i="3" s="1"/>
  <c r="K74" i="3" s="1"/>
  <c r="K51" i="3"/>
  <c r="J70" i="3"/>
  <c r="J76" i="3" s="1"/>
  <c r="J57" i="3"/>
  <c r="H58" i="3"/>
  <c r="H61" i="3"/>
  <c r="H62" i="3"/>
  <c r="H63" i="3"/>
  <c r="H64" i="3"/>
  <c r="H65" i="3"/>
  <c r="H66" i="3"/>
  <c r="I70" i="3"/>
  <c r="I76" i="3" s="1"/>
  <c r="I57" i="3"/>
  <c r="L42" i="3" l="1"/>
  <c r="L55" i="3" s="1"/>
  <c r="L74" i="3" s="1"/>
  <c r="L51" i="3"/>
  <c r="K70" i="3"/>
  <c r="K76" i="3" s="1"/>
  <c r="K57" i="3"/>
  <c r="J58" i="3"/>
  <c r="J61" i="3"/>
  <c r="J62" i="3"/>
  <c r="J63" i="3"/>
  <c r="J64" i="3"/>
  <c r="J65" i="3"/>
  <c r="J66" i="3"/>
  <c r="I58" i="3"/>
  <c r="I61" i="3"/>
  <c r="I62" i="3"/>
  <c r="I63" i="3"/>
  <c r="I64" i="3"/>
  <c r="I65" i="3"/>
  <c r="I66" i="3"/>
  <c r="H67" i="3"/>
  <c r="L70" i="3" l="1"/>
  <c r="L76" i="3" s="1"/>
  <c r="L57" i="3"/>
  <c r="K58" i="3"/>
  <c r="K61" i="3"/>
  <c r="K62" i="3"/>
  <c r="K63" i="3"/>
  <c r="K64" i="3"/>
  <c r="K65" i="3"/>
  <c r="K66" i="3"/>
  <c r="J67" i="3"/>
  <c r="I67" i="3"/>
  <c r="L58" i="3" l="1"/>
  <c r="L61" i="3"/>
  <c r="L67" i="3" s="1"/>
  <c r="L62" i="3"/>
  <c r="L63" i="3"/>
  <c r="L64" i="3"/>
  <c r="L65" i="3"/>
  <c r="L66" i="3"/>
  <c r="K67" i="3"/>
</calcChain>
</file>

<file path=xl/sharedStrings.xml><?xml version="1.0" encoding="utf-8"?>
<sst xmlns="http://schemas.openxmlformats.org/spreadsheetml/2006/main" count="301" uniqueCount="274">
  <si>
    <t>US Tokenized Equity Market: TAM Sizing Model</t>
  </si>
  <si>
    <t>Assumptions &amp; Market Segmentation</t>
  </si>
  <si>
    <t>US Equity Market Overview</t>
  </si>
  <si>
    <t>Source</t>
  </si>
  <si>
    <t>Link</t>
  </si>
  <si>
    <t>Total US listed companies (major exchanges)</t>
  </si>
  <si>
    <t>Source: World Federation of Exchanges, NYSE/NASDAQ listings data, 2025</t>
  </si>
  <si>
    <t>https://www.sifma.org/resources/research/us-equity-markets-statistics/</t>
  </si>
  <si>
    <t>Total US equity market cap ($Bn)</t>
  </si>
  <si>
    <t>Source: SIFMA Capital Markets Fact Book, May 2025; S&amp;P Global</t>
  </si>
  <si>
    <t>https://www.sifma.org/resources/research/fact-book/</t>
  </si>
  <si>
    <t>Total US equity ADV ($Bn)</t>
  </si>
  <si>
    <t>Source: CBOE Global Markets monthly volume data, 2025 avg</t>
  </si>
  <si>
    <t>https://www.cboe.com/us/equities/market_statistics/</t>
  </si>
  <si>
    <t>ADV-Based Segmentation</t>
  </si>
  <si>
    <t>Low ADV</t>
  </si>
  <si>
    <t>Mid ADV</t>
  </si>
  <si>
    <t>High ADV</t>
  </si>
  <si>
    <t>Total / Check</t>
  </si>
  <si>
    <t>ADV threshold</t>
  </si>
  <si>
    <t>&lt;$5M / day</t>
  </si>
  <si>
    <t>$5M - $50M / day</t>
  </si>
  <si>
    <t>&gt;$50M / day</t>
  </si>
  <si>
    <t>Number of companies</t>
  </si>
  <si>
    <t>Source: Bernstein estimate; segmented from NYSE/NASDAQ ADV screens</t>
  </si>
  <si>
    <t>Bernstein estimate — derived from Bloomberg ADV screening</t>
  </si>
  <si>
    <t>Aggregate market cap ($Bn)</t>
  </si>
  <si>
    <t>Source: Bernstein estimate; S&amp;P Global Market Intelligence mkt cap data</t>
  </si>
  <si>
    <t>Bernstein estimate — derived from S&amp;P Global Market Intelligence</t>
  </si>
  <si>
    <t>% of total market cap</t>
  </si>
  <si>
    <t>Avg market cap per company ($Bn)</t>
  </si>
  <si>
    <t>Tokenization Penetration Assumptions (% of segment mkt cap)</t>
  </si>
  <si>
    <t>Rationale</t>
  </si>
  <si>
    <t>Early adopters: illiquid names benefit most from 24/7 trading, fractional access</t>
  </si>
  <si>
    <t>Year</t>
  </si>
  <si>
    <t>Low ADV Penetration</t>
  </si>
  <si>
    <t>Mid ADV Penetration</t>
  </si>
  <si>
    <t>High ADV Penetration</t>
  </si>
  <si>
    <t>Source / Rationale</t>
  </si>
  <si>
    <t>Link / Reference</t>
  </si>
  <si>
    <t>DTCC Oct 2026 launch; Figure/Securitize early listings</t>
  </si>
  <si>
    <t>DTCC digital securities platform announcement</t>
  </si>
  <si>
    <t>Regulatory clarity (CLARITY Act); 2-3 transfer agents live</t>
  </si>
  <si>
    <t>CLARITY Act — H.R. text (Congress.gov)</t>
  </si>
  <si>
    <t>Broadening issuer adoption; mid-cap issuers begin migration</t>
  </si>
  <si>
    <t>Securitize — SEC-registered transfer agent</t>
  </si>
  <si>
    <t>NYSE/Securitize/Computershare pipeline fills; ETF wrapper precedent</t>
  </si>
  <si>
    <t>NYSE / Securitize digital shares partnership</t>
  </si>
  <si>
    <t>Institutional custody solutions mature; 24/7 settlement demand</t>
  </si>
  <si>
    <t>Computershare blockchain transfer agent filing</t>
  </si>
  <si>
    <t>Large-cap pilot programs begin; major exchange integration</t>
  </si>
  <si>
    <t>Figure OPEN network — tokenized equity issuance</t>
  </si>
  <si>
    <t>Cross-border interoperability; non-US investor access unlocked</t>
  </si>
  <si>
    <t>Robinhood EU — tokenized US stock trading launch</t>
  </si>
  <si>
    <t>Collateral mobility use case drives high-ADV adoption</t>
  </si>
  <si>
    <t>Broadridge DLT repo / collateral platform</t>
  </si>
  <si>
    <t>Full clearing/settlement migration for early-adopter segments</t>
  </si>
  <si>
    <t>BlackRock BUIDL tokenized fund (on-chain collateral precedent)</t>
  </si>
  <si>
    <t>Terminal state; analogous to ~20% ETF penetration at 10-yr mark</t>
  </si>
  <si>
    <t>ETF penetration analogue — ICI Fact Book</t>
  </si>
  <si>
    <t>Market Cap Growth Assumptions</t>
  </si>
  <si>
    <t>Annual equity market cap growth rate</t>
  </si>
  <si>
    <t>Applied uniformly across segments</t>
  </si>
  <si>
    <t>Source: Bernstein assumption; ~long-run nominal equity return</t>
  </si>
  <si>
    <t>Bernstein LT equity return assumption (nominal)</t>
  </si>
  <si>
    <t>US Tokenized Equity Market Cap Projection ($Bn)</t>
  </si>
  <si>
    <t>SEGMENT MARKET CAP (GROWING AT EQUITY MKT GROWTH RATE)</t>
  </si>
  <si>
    <t>Low ADV segment market cap ($Bn)</t>
  </si>
  <si>
    <t>Mid ADV segment market cap ($Bn)</t>
  </si>
  <si>
    <t>High ADV segment market cap ($Bn)</t>
  </si>
  <si>
    <t>TOKENIZATION PENETRATION RATES</t>
  </si>
  <si>
    <t>Low ADV penetration</t>
  </si>
  <si>
    <t>Mid ADV penetration</t>
  </si>
  <si>
    <t>High ADV penetration</t>
  </si>
  <si>
    <t>TOKENIZED MARKET CAP BY SEGMENT ($Bn)</t>
  </si>
  <si>
    <t>Low ADV tokenized mkt cap ($Bn)</t>
  </si>
  <si>
    <t>Mid ADV tokenized mkt cap ($Bn)</t>
  </si>
  <si>
    <t>High ADV tokenized mkt cap ($Bn)</t>
  </si>
  <si>
    <t>Total tokenized equity market cap ($Bn)</t>
  </si>
  <si>
    <t>Blended penetration (% of total mkt cap)</t>
  </si>
  <si>
    <t>CONTRIBUTION BREAKDOWN</t>
  </si>
  <si>
    <t>Low ADV % of tokenized total</t>
  </si>
  <si>
    <t>Mid ADV % of tokenized total</t>
  </si>
  <si>
    <t>High ADV % of tokenized total</t>
  </si>
  <si>
    <t>IMPLIED TOKENIZED ISSUERS (APPROX)</t>
  </si>
  <si>
    <t>Low ADV issuers tokenized</t>
  </si>
  <si>
    <t>Mid ADV issuers tokenized</t>
  </si>
  <si>
    <t>High ADV issuers tokenized</t>
  </si>
  <si>
    <t>Total tokenized issuers</t>
  </si>
  <si>
    <t>Tokenized US Equity Revenue Pool Analysis ($M)</t>
  </si>
  <si>
    <t>Annual revenue by segment, linked to base case tokenized market cap projection</t>
  </si>
  <si>
    <t>Assumption</t>
  </si>
  <si>
    <t>INPUTS (FROM PROJECTION SHEET)</t>
  </si>
  <si>
    <t>Total tokenized equity mkt cap ($Bn)</t>
  </si>
  <si>
    <t>Total tokenized equity mkt cap ($M)</t>
  </si>
  <si>
    <t>Conversion for revenue calc</t>
  </si>
  <si>
    <t>1. TRADING REVENUE</t>
  </si>
  <si>
    <t>Annual turnover velocity (x mkt cap)</t>
  </si>
  <si>
    <t>US equity avg ~2.5x; lower early (fewer market makers), ramping to mature</t>
  </si>
  <si>
    <t>Implied annual trading volume ($M)</t>
  </si>
  <si>
    <t>Blended take rate (bps on volume)</t>
  </si>
  <si>
    <t>Includes exchange fees + maker/taker + spread capture; compresses with scale. Trad equity ~1-3bps exchange + 2-5bps spread</t>
  </si>
  <si>
    <t>Trading revenue ($M)</t>
  </si>
  <si>
    <t>2. MARGIN &amp; SECURITIES LENDING REVENUE</t>
  </si>
  <si>
    <t>% of tokenized mkt cap available for lending</t>
  </si>
  <si>
    <t>Trad equities: ~15-20% of float in lending programs; lower early for tokenized due to custody maturity</t>
  </si>
  <si>
    <t>Lendable pool ($M)</t>
  </si>
  <si>
    <t>Utilization rate</t>
  </si>
  <si>
    <t>US sec lending utilization avg ~25-35%; on-chain collateral mobility could push higher over time</t>
  </si>
  <si>
    <t>On-loan balance ($M)</t>
  </si>
  <si>
    <t>Avg lending fee (bps, annualized)</t>
  </si>
  <si>
    <t>GC rate ~25-40bps; specials higher; blended avg ~30-50bps. Source: Markit Securities Finance, IHS</t>
  </si>
  <si>
    <t>Gross lending revenue ($M)</t>
  </si>
  <si>
    <t>Platform share of lending revenue (%)</t>
  </si>
  <si>
    <t>Agent lenders typically retain 20-35% of gross fee; higher early when fewer platforms compete</t>
  </si>
  <si>
    <t>Margin &amp; sec lending revenue ($M)</t>
  </si>
  <si>
    <t>3. PRIME BROKERAGE &amp; CUSTODY REVENUE</t>
  </si>
  <si>
    <t>% of tokenized mkt cap under prime/custody</t>
  </si>
  <si>
    <t>Institutional AUM under prime ~60-70% for trad equities; lower early as institutional infra develops</t>
  </si>
  <si>
    <t>Assets under prime/custody ($M)</t>
  </si>
  <si>
    <t>Blended custody + prime fee (bps on AUC)</t>
  </si>
  <si>
    <t>Trad custody 1-5bps; digital asset custody premium 10-15bps early, compressing. COIN charges 10-50bps custody</t>
  </si>
  <si>
    <t>Prime brokerage &amp; custody revenue ($M)</t>
  </si>
  <si>
    <t>4. NEW ISSUANCE &amp; TOKENIZATION FEES</t>
  </si>
  <si>
    <t>New issuers tokenizing per year</t>
  </si>
  <si>
    <t>Incremental new tokenized issuers per year, from Projection sheet</t>
  </si>
  <si>
    <t>Avg issuance / tokenization fee per issuer ($K)</t>
  </si>
  <si>
    <t>Includes TA migration, smart contract deployment, legal/compliance. IPO fees 3-7% but tokenization is simpler; est $200-500K</t>
  </si>
  <si>
    <t>Issuance fee revenue ($M)</t>
  </si>
  <si>
    <t>Annual TA / record-keeping fee per issuer ($K)</t>
  </si>
  <si>
    <t>Trad TA fees ~$50-150K/yr per issuer; on-chain TA may command premium early. Source: Computershare/AST pricing</t>
  </si>
  <si>
    <t>Cumulative tokenized issuers</t>
  </si>
  <si>
    <t>Annual TA / record-keeping revenue ($M)</t>
  </si>
  <si>
    <t>Total issuance + TA revenue ($M)</t>
  </si>
  <si>
    <t>5. MARKET DATA &amp; INDEX LICENSING</t>
  </si>
  <si>
    <t>Market data rev as % of trading rev</t>
  </si>
  <si>
    <t>NYSE/NASDAQ market data = ~15-25% of exchange rev; on-chain data inherently more transparent but feeds still monetizable</t>
  </si>
  <si>
    <t>Market data &amp; index licensing revenue ($M)</t>
  </si>
  <si>
    <t>6. SETTLEMENT &amp; CLEARING FEES</t>
  </si>
  <si>
    <t>Number of trades (M, implied)</t>
  </si>
  <si>
    <t>Avg trade size ($)</t>
  </si>
  <si>
    <t>US equity avg ~$8-10K; tokenized skews smaller early (retail, fractional), grows with institutional adoption</t>
  </si>
  <si>
    <t>Settlement fee per trade ($)</t>
  </si>
  <si>
    <t>DTCC/NSCC equiv ~$0.01-0.05/trade; on-chain settlement costs gas + protocol fee; compresses with L2 scaling</t>
  </si>
  <si>
    <t>Settlement &amp; clearing revenue ($M)</t>
  </si>
  <si>
    <t>TOTAL TOKENIZED EQUITY REVENUE POOL ($M)</t>
  </si>
  <si>
    <t>1. Trading</t>
  </si>
  <si>
    <t>2. Margin &amp; securities lending</t>
  </si>
  <si>
    <t>3. Prime brokerage &amp; custody</t>
  </si>
  <si>
    <t>4. Issuance + transfer agent fees</t>
  </si>
  <si>
    <t>5. Market data &amp; index licensing</t>
  </si>
  <si>
    <t>6. Settlement &amp; clearing</t>
  </si>
  <si>
    <t>TOTAL REVENUE POOL ($M)</t>
  </si>
  <si>
    <t>Total revenue pool ($Bn)</t>
  </si>
  <si>
    <t>REVENUE MIX (% OF TOTAL)</t>
  </si>
  <si>
    <t>Trading</t>
  </si>
  <si>
    <t>Margin &amp; sec lending</t>
  </si>
  <si>
    <t>Prime &amp; custody</t>
  </si>
  <si>
    <t>Issuance + TA</t>
  </si>
  <si>
    <t>Market data</t>
  </si>
  <si>
    <t>Settlement &amp; clearing</t>
  </si>
  <si>
    <t>Check (should = 100%)</t>
  </si>
  <si>
    <t>REVENUE YIELD (BPS ON TOKENIZED MKT CAP)</t>
  </si>
  <si>
    <t>Total yield (bps)</t>
  </si>
  <si>
    <t>REVENUE POOL → COMPANY MAPPING</t>
  </si>
  <si>
    <t>COIN, FIGR (OPEN network), Bullish, Robinhood (HOOD), NYSE/ICE, NASDAQ</t>
  </si>
  <si>
    <t>COIN Prime, FIGR, Galaxy Digital, Anchorage, Fireblocks</t>
  </si>
  <si>
    <t>Prime brokerage &amp; custody</t>
  </si>
  <si>
    <t>COIN Custody, Anchorage, Fireblocks, BitGo, BNY Mellon, State Street</t>
  </si>
  <si>
    <t>Issuance + TA fees</t>
  </si>
  <si>
    <t>FIGR (Securitize on OPEN), Securitize, DTCC, Computershare, AST Financial</t>
  </si>
  <si>
    <t>Market data &amp; index licensing</t>
  </si>
  <si>
    <t>CRCL (on-chain data layer), Kaiko, Pyth, Chainlink, ICE, NASDAQ</t>
  </si>
  <si>
    <t>CRCL (USDC settlement), FIGR (OPEN), DTCC, Paxos, Fireblocks</t>
  </si>
  <si>
    <t>KEY SOURCES</t>
  </si>
  <si>
    <t>Trading fee benchmarks</t>
  </si>
  <si>
    <t>SIFMA US Equity Market Structure</t>
  </si>
  <si>
    <t>Securities lending data</t>
  </si>
  <si>
    <t>IHS Markit Securities Finance</t>
  </si>
  <si>
    <t>https://ihsmarkit.com/products/securities-finance.html</t>
  </si>
  <si>
    <t>Custody fee benchmarks</t>
  </si>
  <si>
    <t>Coinbase Institutional pricing</t>
  </si>
  <si>
    <t>https://www.coinbase.com/institutional</t>
  </si>
  <si>
    <t>Transfer agent market</t>
  </si>
  <si>
    <t>SEC TA registration data</t>
  </si>
  <si>
    <t>https://www.sec.gov/cgi-bin/browse-edgar?action=getcompany&amp;type=TA&amp;dateb=&amp;owner=include&amp;count=40&amp;search_text=&amp;action=getcompany</t>
  </si>
  <si>
    <t>Exchange market data revenue</t>
  </si>
  <si>
    <t>ICE/NYSE 10-K, NASDAQ 10-K</t>
  </si>
  <si>
    <t>https://www.sec.gov/cgi-bin/browse-edgar?company=intercontinental+exchange&amp;CIK=&amp;type=10-K&amp;dateb=&amp;owner=include&amp;count=10&amp;search_text=&amp;action=getcompany</t>
  </si>
  <si>
    <t>DTCC clearing fees</t>
  </si>
  <si>
    <t>DTCC fee schedules</t>
  </si>
  <si>
    <t>https://www.dtcc.com/clearing-services/equities-clearing-services/fees</t>
  </si>
  <si>
    <t>On-chain settlement costs</t>
  </si>
  <si>
    <t>Ethereum/L2 gas trackers</t>
  </si>
  <si>
    <t>https://etherscan.io/gastracker</t>
  </si>
  <si>
    <t>Scenario Sensitivity: Terminal Year (2035) Tokenized Market Cap</t>
  </si>
  <si>
    <t>Terminal penetration rate assumptions</t>
  </si>
  <si>
    <t>Bear</t>
  </si>
  <si>
    <t>Base</t>
  </si>
  <si>
    <t>Bull</t>
  </si>
  <si>
    <t>Low ADV terminal penetration</t>
  </si>
  <si>
    <t>Source: Bernstein scenario analysis</t>
  </si>
  <si>
    <t>Mid ADV terminal penetration</t>
  </si>
  <si>
    <t>High ADV terminal penetration</t>
  </si>
  <si>
    <t>Terminal year (2035) segment mkt cap ($Bn)</t>
  </si>
  <si>
    <t>Low ADV mkt cap ($Bn, 2035E)</t>
  </si>
  <si>
    <t>Mid ADV mkt cap ($Bn, 2035E)</t>
  </si>
  <si>
    <t>High ADV mkt cap ($Bn, 2035E)</t>
  </si>
  <si>
    <t>Tokenized market cap by scenario ($Bn)</t>
  </si>
  <si>
    <t>Low ADV tokenized ($Bn)</t>
  </si>
  <si>
    <t>Mid ADV tokenized ($Bn)</t>
  </si>
  <si>
    <t>High ADV tokenized ($Bn)</t>
  </si>
  <si>
    <t>Blended penetration</t>
  </si>
  <si>
    <t>Historical Analogues: ETF &amp; ADR Annual Growth Data</t>
  </si>
  <si>
    <t>Annual data series for benchmarking tokenized equity penetration assumptions</t>
  </si>
  <si>
    <t>US ETF MARKET — ANNUAL DATA (1993–2025)</t>
  </si>
  <si>
    <t>US ADR MARKET — ANNUAL DATA (1990–2025)</t>
  </si>
  <si>
    <t>ETF AUM ($Bn)</t>
  </si>
  <si>
    <t>US Eq Mkt Cap ($Bn)</t>
  </si>
  <si>
    <t>ETF Penetration (%)</t>
  </si>
  <si>
    <t># of ETFs</t>
  </si>
  <si>
    <t>ADR Trading Val ($Bn/yr)</t>
  </si>
  <si>
    <t>US Eq Trading Val ($Bn/yr)</t>
  </si>
  <si>
    <t>ADR % of Trading</t>
  </si>
  <si>
    <t>ADR Mkt Cap ($Bn)</t>
  </si>
  <si>
    <t>ADR % of Mkt Cap</t>
  </si>
  <si>
    <t>Summary</t>
  </si>
  <si>
    <t>Yr 5</t>
  </si>
  <si>
    <t>Yr 10</t>
  </si>
  <si>
    <t>Yr 15</t>
  </si>
  <si>
    <t>Yr 20</t>
  </si>
  <si>
    <t>Avg ADR % trading (all years)</t>
  </si>
  <si>
    <t>Yr 30</t>
  </si>
  <si>
    <t>Avg ADR % mkt cap (all years)</t>
  </si>
  <si>
    <t>Yr 32</t>
  </si>
  <si>
    <t>Peak ADR % trading</t>
  </si>
  <si>
    <t>Peak ADR % mkt cap</t>
  </si>
  <si>
    <t>Takeaway</t>
  </si>
  <si>
    <t>ETFs: &lt;1% penetration through year 10; inflection around year 12-14 (~2-3%); crossed 5% at ~year 17; now ~18% at year 32. First decade = infrastructure + regulatory build; second decade = exponential adoption.</t>
  </si>
  <si>
    <t>Min ADR % trading</t>
  </si>
  <si>
    <t>ADRs: trading share ranged 2-6% over 35 years — remarkably stable niche, never achieved mass penetration. Mkt cap share higher at 4-11%, reflecting larger-cap bias in ADR listings. ADRs are a 'new wrapper for cross-border access' analogue — tokenization of US equities for global investors mirrors this pattern. But tokenization also offers settlement/collateral benefits that ADRs don't, suggesting higher terminal penetration.</t>
  </si>
  <si>
    <t>Sources</t>
  </si>
  <si>
    <t>ICI Fact Book</t>
  </si>
  <si>
    <t>ETF.com</t>
  </si>
  <si>
    <t>SIFMA Capital Markets Fact Book</t>
  </si>
  <si>
    <t>BNY Mellon DR Directory</t>
  </si>
  <si>
    <t>S&amp;P Global Market Intelligence</t>
  </si>
  <si>
    <t>BNY Mellon DR Market Review (annual)</t>
  </si>
  <si>
    <t>2024-2025E: Bernstein estimates</t>
  </si>
  <si>
    <t>SIFMA US Equity Market Statistics</t>
  </si>
  <si>
    <t>World Federation of Exchanges</t>
  </si>
  <si>
    <t>ANALOGUE COMPARISON: PENETRATION MILESTONES</t>
  </si>
  <si>
    <t>Launch</t>
  </si>
  <si>
    <t>Yr 5 Pen.</t>
  </si>
  <si>
    <t>Yr 10 Pen.</t>
  </si>
  <si>
    <t>Yr 15 Pen.</t>
  </si>
  <si>
    <t>Yr 20 Pen.</t>
  </si>
  <si>
    <t>Current Pen.</t>
  </si>
  <si>
    <t>Terminal View</t>
  </si>
  <si>
    <t>Primary Driver</t>
  </si>
  <si>
    <t>US ETFs</t>
  </si>
  <si>
    <t>20-25%</t>
  </si>
  <si>
    <t>New product wrapper; tax efficiency</t>
  </si>
  <si>
    <t>US ADRs</t>
  </si>
  <si>
    <t>2-5%</t>
  </si>
  <si>
    <t>Cross-border access wrapper; stable niche</t>
  </si>
  <si>
    <t>Tokenized US equities</t>
  </si>
  <si>
    <t>N/A</t>
  </si>
  <si>
    <t>5-12%</t>
  </si>
  <si>
    <t>New rail; 24/7 settlement, global access, collateral</t>
  </si>
  <si>
    <t>Implication</t>
  </si>
  <si>
    <t>Base case ~7% penetration at year 10 is aggressive vs. ETF precedent (1.1% at year 10) but conservative vs. the argument that tokenization is infrastructure migration, not a new product. ADR analogue suggests cross-border access alone could sustain 5-7%. Settlement and collateral benefits are additive. Bear case floors at ADR-like 2-5%; bull case could approach ETF-like trajectory with 10-15 year lag compression.</t>
  </si>
  <si>
    <t>Data notes</t>
  </si>
  <si>
    <t>ETF AUM: ICI Fact Book is canonical source; pre-2000 data from ETF.com archives. ADR data: BNY Mellon annual DR Market Reviews are primary source; trading values before 2000 are estimated from WFE/SIFMA aggregates. US equity mkt cap: S&amp;P Global / Wilshire 5000 total market index. 2024-2025E figures are Bernstein estimates. Cross-verify ADR trading values against BNY Mellon's published annual reviews on your terminal.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</si>
</sst>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.0"/>
    <numFmt numFmtId="165" formatCode="0.0%"/>
    <numFmt numFmtId="166" formatCode="\$#,##0"/>
    <numFmt numFmtId="167" formatCode="0.0"/>
    <numFmt numFmtId="168" formatCode="#,##0.0"/>
    <numFmt numFmtId="169" formatCode="\$0.00"/>
  </numFmts>
  <fonts count="24" x14ac:knownFonts="1">
    <font>
      <sz val="11"/>
      <color theme="1"/>
      <name val="Calibri"/>
      <family val="2"/>
      <charset val="1"/>
    </font>
    <font>
      <b/>
      <sz val="14"/>
      <color rgb="FF1F4E79"/>
      <name val="Arial"/>
      <family val="2"/>
    </font>
    <font>
      <b/>
      <sz val="11"/>
      <color rgb="FF1F4E7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i/>
      <sz val="9"/>
      <color rgb="FF808080"/>
      <name val="Arial"/>
      <family val="2"/>
    </font>
    <font>
      <u/>
      <sz val="9"/>
      <color rgb="FF0563C1"/>
      <name val="Arial"/>
      <family val="2"/>
    </font>
    <font>
      <sz val="10"/>
      <color rgb="FF000000"/>
      <name val="Arial"/>
      <family val="2"/>
    </font>
    <font>
      <i/>
      <sz val="9"/>
      <name val="Arial"/>
      <family val="2"/>
    </font>
    <font>
      <b/>
      <sz val="9"/>
      <color rgb="FF1F4E79"/>
      <name val="Arial"/>
      <family val="2"/>
    </font>
    <font>
      <sz val="10"/>
      <color rgb="FF008000"/>
      <name val="Arial"/>
      <family val="2"/>
    </font>
    <font>
      <i/>
      <sz val="10"/>
      <color rgb="FF808080"/>
      <name val="Arial"/>
      <family val="2"/>
    </font>
    <font>
      <b/>
      <sz val="11"/>
      <color rgb="FF7030A0"/>
      <name val="Arial"/>
      <family val="2"/>
    </font>
    <font>
      <b/>
      <sz val="12"/>
      <color rgb="FF7030A0"/>
      <name val="Arial"/>
      <family val="2"/>
    </font>
    <font>
      <sz val="9"/>
      <color rgb="FF808080"/>
      <name val="Arial"/>
      <family val="2"/>
    </font>
    <font>
      <b/>
      <sz val="10"/>
      <color rgb="FFED7D31"/>
      <name val="Arial"/>
      <family val="2"/>
    </font>
    <font>
      <b/>
      <sz val="13"/>
      <color rgb="FF1F4E79"/>
      <name val="Arial"/>
      <family val="2"/>
    </font>
    <font>
      <i/>
      <sz val="10"/>
      <name val="Arial"/>
      <family val="2"/>
    </font>
    <font>
      <b/>
      <sz val="9"/>
      <color rgb="FF808080"/>
      <name val="Arial"/>
      <family val="2"/>
    </font>
    <font>
      <sz val="9"/>
      <name val="Arial"/>
      <family val="2"/>
    </font>
    <font>
      <b/>
      <sz val="10"/>
      <color rgb="FF1F4E79"/>
      <name val="Arial"/>
      <family val="2"/>
    </font>
    <font>
      <b/>
      <sz val="9"/>
      <color rgb="FFFF0000"/>
      <name val="Arial"/>
      <family val="2"/>
    </font>
    <font>
      <i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6E4F0"/>
        <bgColor rgb="FFE8D5F5"/>
      </patternFill>
    </fill>
    <fill>
      <patternFill patternType="solid">
        <fgColor rgb="FFFFFFCC"/>
        <bgColor rgb="FFFFFFFF"/>
      </patternFill>
    </fill>
    <fill>
      <patternFill patternType="solid">
        <fgColor rgb="FFE8D5F5"/>
        <bgColor rgb="FFD6E4F0"/>
      </patternFill>
    </fill>
    <fill>
      <patternFill patternType="solid">
        <fgColor rgb="FFD5C6E8"/>
        <bgColor rgb="FFE8D5F5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3" fillId="0" borderId="0" xfId="0" applyFont="1"/>
    <xf numFmtId="0" fontId="18" fillId="0" borderId="0" xfId="0" applyFont="1"/>
    <xf numFmtId="0" fontId="4" fillId="0" borderId="0" xfId="0" applyFont="1"/>
    <xf numFmtId="0" fontId="9" fillId="0" borderId="0" xfId="0" applyFont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3" fontId="5" fillId="3" borderId="0" xfId="0" applyNumberFormat="1" applyFont="1" applyFill="1"/>
    <xf numFmtId="0" fontId="6" fillId="0" borderId="0" xfId="0" applyFont="1"/>
    <xf numFmtId="0" fontId="7" fillId="0" borderId="0" xfId="0" applyFont="1"/>
    <xf numFmtId="164" fontId="5" fillId="3" borderId="0" xfId="0" applyNumberFormat="1" applyFont="1" applyFill="1"/>
    <xf numFmtId="0" fontId="3" fillId="0" borderId="0" xfId="0" applyFont="1" applyAlignment="1">
      <alignment horizontal="center"/>
    </xf>
    <xf numFmtId="0" fontId="5" fillId="0" borderId="0" xfId="0" applyFont="1"/>
    <xf numFmtId="3" fontId="8" fillId="0" borderId="0" xfId="0" applyNumberFormat="1" applyFont="1"/>
    <xf numFmtId="164" fontId="8" fillId="0" borderId="0" xfId="0" applyNumberFormat="1" applyFont="1"/>
    <xf numFmtId="165" fontId="8" fillId="0" borderId="0" xfId="0" applyNumberFormat="1" applyFont="1"/>
    <xf numFmtId="0" fontId="9" fillId="0" borderId="0" xfId="0" applyFont="1"/>
    <xf numFmtId="0" fontId="3" fillId="0" borderId="0" xfId="0" applyFont="1"/>
    <xf numFmtId="1" fontId="4" fillId="0" borderId="0" xfId="0" applyNumberFormat="1" applyFont="1"/>
    <xf numFmtId="165" fontId="5" fillId="3" borderId="0" xfId="0" applyNumberFormat="1" applyFont="1" applyFill="1"/>
    <xf numFmtId="0" fontId="3" fillId="2" borderId="0" xfId="0" applyFont="1" applyFill="1" applyAlignment="1">
      <alignment horizontal="center" wrapText="1"/>
    </xf>
    <xf numFmtId="1" fontId="3" fillId="2" borderId="0" xfId="0" applyNumberFormat="1" applyFont="1" applyFill="1" applyAlignment="1">
      <alignment horizontal="center" wrapText="1"/>
    </xf>
    <xf numFmtId="0" fontId="10" fillId="0" borderId="0" xfId="0" applyFont="1"/>
    <xf numFmtId="164" fontId="3" fillId="0" borderId="1" xfId="0" applyNumberFormat="1" applyFont="1" applyBorder="1"/>
    <xf numFmtId="165" fontId="11" fillId="0" borderId="0" xfId="0" applyNumberFormat="1" applyFont="1"/>
    <xf numFmtId="164" fontId="2" fillId="0" borderId="1" xfId="0" applyNumberFormat="1" applyFont="1" applyBorder="1"/>
    <xf numFmtId="3" fontId="3" fillId="0" borderId="1" xfId="0" applyNumberFormat="1" applyFont="1" applyBorder="1"/>
    <xf numFmtId="0" fontId="12" fillId="0" borderId="0" xfId="0" applyFont="1"/>
    <xf numFmtId="0" fontId="3" fillId="2" borderId="0" xfId="0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164" fontId="11" fillId="0" borderId="0" xfId="0" applyNumberFormat="1" applyFont="1"/>
    <xf numFmtId="166" fontId="8" fillId="0" borderId="0" xfId="0" applyNumberFormat="1" applyFont="1"/>
    <xf numFmtId="0" fontId="10" fillId="4" borderId="0" xfId="0" applyFont="1" applyFill="1"/>
    <xf numFmtId="0" fontId="0" fillId="4" borderId="0" xfId="0" applyFill="1"/>
    <xf numFmtId="167" fontId="5" fillId="3" borderId="0" xfId="0" applyNumberFormat="1" applyFont="1" applyFill="1"/>
    <xf numFmtId="166" fontId="3" fillId="0" borderId="0" xfId="0" applyNumberFormat="1" applyFont="1"/>
    <xf numFmtId="1" fontId="5" fillId="3" borderId="0" xfId="0" applyNumberFormat="1" applyFont="1" applyFill="1"/>
    <xf numFmtId="3" fontId="11" fillId="0" borderId="0" xfId="0" applyNumberFormat="1" applyFont="1"/>
    <xf numFmtId="166" fontId="5" fillId="3" borderId="0" xfId="0" applyNumberFormat="1" applyFont="1" applyFill="1"/>
    <xf numFmtId="168" fontId="8" fillId="0" borderId="0" xfId="0" applyNumberFormat="1" applyFont="1"/>
    <xf numFmtId="169" fontId="5" fillId="3" borderId="0" xfId="0" applyNumberFormat="1" applyFont="1" applyFill="1"/>
    <xf numFmtId="0" fontId="13" fillId="5" borderId="0" xfId="0" applyFont="1" applyFill="1"/>
    <xf numFmtId="0" fontId="0" fillId="5" borderId="0" xfId="0" applyFill="1"/>
    <xf numFmtId="0" fontId="14" fillId="0" borderId="0" xfId="0" applyFont="1"/>
    <xf numFmtId="166" fontId="14" fillId="0" borderId="1" xfId="0" applyNumberFormat="1" applyFont="1" applyBorder="1"/>
    <xf numFmtId="0" fontId="10" fillId="2" borderId="0" xfId="0" applyFont="1" applyFill="1"/>
    <xf numFmtId="0" fontId="15" fillId="0" borderId="0" xfId="0" applyFont="1"/>
    <xf numFmtId="165" fontId="15" fillId="0" borderId="0" xfId="0" applyNumberFormat="1" applyFont="1"/>
    <xf numFmtId="167" fontId="8" fillId="0" borderId="0" xfId="0" applyNumberFormat="1" applyFont="1"/>
    <xf numFmtId="167" fontId="3" fillId="0" borderId="1" xfId="0" applyNumberFormat="1" applyFont="1" applyBorder="1"/>
    <xf numFmtId="0" fontId="16" fillId="2" borderId="0" xfId="0" applyFont="1" applyFill="1"/>
    <xf numFmtId="0" fontId="17" fillId="0" borderId="0" xfId="0" applyFont="1"/>
    <xf numFmtId="0" fontId="3" fillId="0" borderId="0" xfId="0" applyFont="1" applyAlignment="1">
      <alignment horizontal="center" wrapText="1"/>
    </xf>
    <xf numFmtId="10" fontId="8" fillId="0" borderId="0" xfId="0" applyNumberFormat="1" applyFont="1"/>
    <xf numFmtId="0" fontId="16" fillId="0" borderId="0" xfId="0" applyFont="1"/>
    <xf numFmtId="0" fontId="19" fillId="0" borderId="0" xfId="0" applyFont="1"/>
    <xf numFmtId="0" fontId="20" fillId="0" borderId="0" xfId="0" applyFont="1"/>
    <xf numFmtId="0" fontId="21" fillId="0" borderId="2" xfId="0" applyFont="1" applyBorder="1"/>
    <xf numFmtId="1" fontId="4" fillId="0" borderId="2" xfId="0" applyNumberFormat="1" applyFont="1" applyBorder="1"/>
    <xf numFmtId="10" fontId="11" fillId="0" borderId="2" xfId="0" applyNumberFormat="1" applyFont="1" applyBorder="1"/>
    <xf numFmtId="0" fontId="4" fillId="0" borderId="2" xfId="0" applyFont="1" applyBorder="1"/>
    <xf numFmtId="0" fontId="20" fillId="0" borderId="2" xfId="0" applyFont="1" applyBorder="1"/>
    <xf numFmtId="0" fontId="2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8D5F5"/>
      <rgbColor rgb="FF808080"/>
      <rgbColor rgb="FF9999FF"/>
      <rgbColor rgb="FF7030A0"/>
      <rgbColor rgb="FFFFFFCC"/>
      <rgbColor rgb="FFD6E4F0"/>
      <rgbColor rgb="FF660066"/>
      <rgbColor rgb="FFFF8080"/>
      <rgbColor rgb="FF0563C1"/>
      <rgbColor rgb="FFD5C6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ec.gov/cgi-bin/browse-edgar?company=computershare&amp;CIK=&amp;type=&amp;dateb=&amp;owner=include&amp;count=40&amp;search_text=&amp;action=getcompany" TargetMode="External"/><Relationship Id="rId13" Type="http://schemas.openxmlformats.org/officeDocument/2006/relationships/hyperlink" Target="https://www.ici.org/research/stats/factbook" TargetMode="External"/><Relationship Id="rId3" Type="http://schemas.openxmlformats.org/officeDocument/2006/relationships/hyperlink" Target="https://www.cboe.com/us/equities/market_statistics/" TargetMode="External"/><Relationship Id="rId7" Type="http://schemas.openxmlformats.org/officeDocument/2006/relationships/hyperlink" Target="https://www.nyse.com/" TargetMode="External"/><Relationship Id="rId12" Type="http://schemas.openxmlformats.org/officeDocument/2006/relationships/hyperlink" Target="https://www.sec.gov/cgi-bin/browse-edgar?company=blackrock&amp;CIK=&amp;type=&amp;dateb=&amp;owner=include&amp;count=40&amp;search_text=&amp;action=getcompany" TargetMode="External"/><Relationship Id="rId2" Type="http://schemas.openxmlformats.org/officeDocument/2006/relationships/hyperlink" Target="https://www.sifma.org/resources/research/fact-book/" TargetMode="External"/><Relationship Id="rId1" Type="http://schemas.openxmlformats.org/officeDocument/2006/relationships/hyperlink" Target="https://www.sifma.org/resources/research/us-equity-markets-statistics/" TargetMode="External"/><Relationship Id="rId6" Type="http://schemas.openxmlformats.org/officeDocument/2006/relationships/hyperlink" Target="https://www.sec.gov/cgi-bin/browse-edgar?action=getcompany&amp;company=securitize&amp;CIK=&amp;type=TA&amp;dateb=&amp;owner=include&amp;count=40&amp;search_text=&amp;action=getcompany" TargetMode="External"/><Relationship Id="rId11" Type="http://schemas.openxmlformats.org/officeDocument/2006/relationships/hyperlink" Target="https://www.broadridge.com/press-release/2024/broadridge-distributed-ledger-repo-platform" TargetMode="External"/><Relationship Id="rId5" Type="http://schemas.openxmlformats.org/officeDocument/2006/relationships/hyperlink" Target="https://www.congress.gov/bill/119th-congress/house-bill/" TargetMode="External"/><Relationship Id="rId10" Type="http://schemas.openxmlformats.org/officeDocument/2006/relationships/hyperlink" Target="https://newsroom.aboutrobinhood.com/" TargetMode="External"/><Relationship Id="rId4" Type="http://schemas.openxmlformats.org/officeDocument/2006/relationships/hyperlink" Target="https://www.dtcc.com/news/2024/may/07/dtcc-digital-securities-management" TargetMode="External"/><Relationship Id="rId9" Type="http://schemas.openxmlformats.org/officeDocument/2006/relationships/hyperlink" Target="https://www.figure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inbase.com/institutional" TargetMode="External"/><Relationship Id="rId7" Type="http://schemas.openxmlformats.org/officeDocument/2006/relationships/hyperlink" Target="https://etherscan.io/gastracker" TargetMode="External"/><Relationship Id="rId2" Type="http://schemas.openxmlformats.org/officeDocument/2006/relationships/hyperlink" Target="https://ihsmarkit.com/products/securities-finance.html" TargetMode="External"/><Relationship Id="rId1" Type="http://schemas.openxmlformats.org/officeDocument/2006/relationships/hyperlink" Target="https://www.sifma.org/resources/research/us-equity-markets-statistics/" TargetMode="External"/><Relationship Id="rId6" Type="http://schemas.openxmlformats.org/officeDocument/2006/relationships/hyperlink" Target="https://www.dtcc.com/clearing-services/equities-clearing-services/fees" TargetMode="External"/><Relationship Id="rId5" Type="http://schemas.openxmlformats.org/officeDocument/2006/relationships/hyperlink" Target="https://www.sec.gov/cgi-bin/browse-edgar?company=intercontinental+exchange&amp;CIK=&amp;type=10-K&amp;dateb=&amp;owner=include&amp;count=10&amp;search_text=&amp;action=getcompany" TargetMode="External"/><Relationship Id="rId4" Type="http://schemas.openxmlformats.org/officeDocument/2006/relationships/hyperlink" Target="https://www.sec.gov/cgi-bin/browse-edgar?action=getcompany&amp;type=TA&amp;dateb=&amp;owner=include&amp;count=40&amp;search_text=&amp;action=getcompany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orld-exchanges.org/our-work/statistics" TargetMode="External"/><Relationship Id="rId3" Type="http://schemas.openxmlformats.org/officeDocument/2006/relationships/hyperlink" Target="https://www.sifma.org/resources/research/fact-book/" TargetMode="External"/><Relationship Id="rId7" Type="http://schemas.openxmlformats.org/officeDocument/2006/relationships/hyperlink" Target="https://www.sifma.org/resources/research/us-equity-markets-statistics/" TargetMode="External"/><Relationship Id="rId2" Type="http://schemas.openxmlformats.org/officeDocument/2006/relationships/hyperlink" Target="https://www.etf.com/sections/etf-basics" TargetMode="External"/><Relationship Id="rId1" Type="http://schemas.openxmlformats.org/officeDocument/2006/relationships/hyperlink" Target="https://www.ici.org/research/stats/factbook" TargetMode="External"/><Relationship Id="rId6" Type="http://schemas.openxmlformats.org/officeDocument/2006/relationships/hyperlink" Target="https://www.adrbnymellon.com/market-review" TargetMode="External"/><Relationship Id="rId5" Type="http://schemas.openxmlformats.org/officeDocument/2006/relationships/hyperlink" Target="https://www.spglobal.com/marketintelligence/" TargetMode="External"/><Relationship Id="rId4" Type="http://schemas.openxmlformats.org/officeDocument/2006/relationships/hyperlink" Target="https://www.adrbnymellon.com/directory/dr-directo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G33"/>
  <sheetViews>
    <sheetView tabSelected="1" zoomScaleNormal="100" workbookViewId="0">
      <pane ySplit="3" topLeftCell="A4" activePane="bottomLeft" state="frozen"/>
      <selection pane="bottomLeft" activeCell="B1" sqref="B1"/>
    </sheetView>
  </sheetViews>
  <sheetFormatPr defaultColWidth="8.6328125" defaultRowHeight="14.5" x14ac:dyDescent="0.35"/>
  <cols>
    <col min="1" max="1" width="35" customWidth="1"/>
    <col min="2" max="4" width="18" customWidth="1"/>
    <col min="5" max="5" width="22" customWidth="1"/>
    <col min="6" max="6" width="55" customWidth="1"/>
    <col min="7" max="7" width="75" customWidth="1"/>
  </cols>
  <sheetData>
    <row r="1" spans="1:7" ht="17.25" customHeight="1" x14ac:dyDescent="0.4">
      <c r="A1" s="5" t="s">
        <v>0</v>
      </c>
    </row>
    <row r="2" spans="1:7" ht="15" customHeight="1" x14ac:dyDescent="0.35">
      <c r="A2" s="6" t="s">
        <v>1</v>
      </c>
    </row>
    <row r="4" spans="1:7" ht="15" customHeight="1" x14ac:dyDescent="0.35">
      <c r="A4" s="7" t="s">
        <v>2</v>
      </c>
      <c r="B4" s="8"/>
      <c r="C4" s="8"/>
      <c r="D4" s="8"/>
      <c r="E4" s="8"/>
      <c r="F4" s="7" t="s">
        <v>3</v>
      </c>
      <c r="G4" s="7" t="s">
        <v>4</v>
      </c>
    </row>
    <row r="5" spans="1:7" ht="15" customHeight="1" x14ac:dyDescent="0.35">
      <c r="A5" s="9" t="s">
        <v>5</v>
      </c>
      <c r="B5" s="10">
        <v>4400</v>
      </c>
      <c r="F5" s="11" t="s">
        <v>6</v>
      </c>
      <c r="G5" s="12" t="s">
        <v>7</v>
      </c>
    </row>
    <row r="6" spans="1:7" ht="15" customHeight="1" x14ac:dyDescent="0.35">
      <c r="A6" s="9" t="s">
        <v>8</v>
      </c>
      <c r="B6" s="13">
        <v>58000</v>
      </c>
      <c r="F6" s="11" t="s">
        <v>9</v>
      </c>
      <c r="G6" s="12" t="s">
        <v>10</v>
      </c>
    </row>
    <row r="7" spans="1:7" ht="15" customHeight="1" x14ac:dyDescent="0.35">
      <c r="A7" s="9" t="s">
        <v>11</v>
      </c>
      <c r="B7" s="13">
        <v>550</v>
      </c>
      <c r="F7" s="11" t="s">
        <v>12</v>
      </c>
      <c r="G7" s="12" t="s">
        <v>13</v>
      </c>
    </row>
    <row r="9" spans="1:7" ht="15" customHeight="1" x14ac:dyDescent="0.35">
      <c r="A9" s="7" t="s">
        <v>14</v>
      </c>
      <c r="B9" s="8"/>
      <c r="C9" s="8"/>
      <c r="D9" s="8"/>
      <c r="E9" s="8"/>
      <c r="F9" s="7" t="s">
        <v>3</v>
      </c>
      <c r="G9" s="7" t="s">
        <v>4</v>
      </c>
    </row>
    <row r="10" spans="1:7" ht="15" customHeight="1" x14ac:dyDescent="0.35">
      <c r="A10" s="14"/>
      <c r="B10" s="14" t="s">
        <v>15</v>
      </c>
      <c r="C10" s="14" t="s">
        <v>16</v>
      </c>
      <c r="D10" s="14" t="s">
        <v>17</v>
      </c>
      <c r="E10" s="14" t="s">
        <v>18</v>
      </c>
    </row>
    <row r="11" spans="1:7" ht="15" customHeight="1" x14ac:dyDescent="0.35">
      <c r="A11" s="9" t="s">
        <v>19</v>
      </c>
      <c r="B11" s="15" t="s">
        <v>20</v>
      </c>
      <c r="C11" s="15" t="s">
        <v>21</v>
      </c>
      <c r="D11" s="15" t="s">
        <v>22</v>
      </c>
    </row>
    <row r="12" spans="1:7" ht="15" customHeight="1" x14ac:dyDescent="0.35">
      <c r="A12" s="9" t="s">
        <v>23</v>
      </c>
      <c r="B12" s="10">
        <v>2400</v>
      </c>
      <c r="C12" s="10">
        <v>1500</v>
      </c>
      <c r="D12" s="10">
        <v>500</v>
      </c>
      <c r="E12" s="16">
        <f>SUM(B12:D12)</f>
        <v>4400</v>
      </c>
      <c r="F12" s="11" t="s">
        <v>24</v>
      </c>
      <c r="G12" s="11" t="s">
        <v>25</v>
      </c>
    </row>
    <row r="13" spans="1:7" ht="15" customHeight="1" x14ac:dyDescent="0.35">
      <c r="A13" s="9" t="s">
        <v>26</v>
      </c>
      <c r="B13" s="13">
        <v>3000</v>
      </c>
      <c r="C13" s="13">
        <v>10000</v>
      </c>
      <c r="D13" s="13">
        <v>45000</v>
      </c>
      <c r="E13" s="17">
        <f>SUM(B13:D13)</f>
        <v>58000</v>
      </c>
      <c r="F13" s="11" t="s">
        <v>27</v>
      </c>
      <c r="G13" s="11" t="s">
        <v>28</v>
      </c>
    </row>
    <row r="14" spans="1:7" ht="15" customHeight="1" x14ac:dyDescent="0.35">
      <c r="A14" s="9" t="s">
        <v>29</v>
      </c>
      <c r="B14" s="18">
        <f>B13/$E13</f>
        <v>5.1724137931034482E-2</v>
      </c>
      <c r="C14" s="18">
        <f>C13/$E13</f>
        <v>0.17241379310344829</v>
      </c>
      <c r="D14" s="18">
        <f>D13/$E13</f>
        <v>0.77586206896551724</v>
      </c>
      <c r="E14" s="18">
        <f>SUM(B14:D14)</f>
        <v>1</v>
      </c>
    </row>
    <row r="15" spans="1:7" ht="15" customHeight="1" x14ac:dyDescent="0.35">
      <c r="A15" s="9" t="s">
        <v>30</v>
      </c>
      <c r="B15" s="17">
        <f>B13/B12</f>
        <v>1.25</v>
      </c>
      <c r="C15" s="17">
        <f>C13/C12</f>
        <v>6.666666666666667</v>
      </c>
      <c r="D15" s="17">
        <f>D13/D12</f>
        <v>90</v>
      </c>
    </row>
    <row r="17" spans="1:7" ht="15" customHeight="1" x14ac:dyDescent="0.35">
      <c r="A17" s="7" t="s">
        <v>31</v>
      </c>
      <c r="B17" s="8"/>
      <c r="C17" s="8"/>
      <c r="D17" s="8"/>
      <c r="E17" s="8"/>
      <c r="F17" s="8"/>
      <c r="G17" s="8"/>
    </row>
    <row r="18" spans="1:7" ht="15" customHeight="1" x14ac:dyDescent="0.35">
      <c r="A18" s="9" t="s">
        <v>32</v>
      </c>
      <c r="B18" s="4" t="s">
        <v>33</v>
      </c>
      <c r="C18" s="4"/>
      <c r="D18" s="4"/>
    </row>
    <row r="20" spans="1:7" ht="15" customHeight="1" x14ac:dyDescent="0.35">
      <c r="A20" s="14" t="s">
        <v>34</v>
      </c>
      <c r="B20" s="14" t="s">
        <v>35</v>
      </c>
      <c r="C20" s="14" t="s">
        <v>36</v>
      </c>
      <c r="D20" s="14" t="s">
        <v>37</v>
      </c>
      <c r="F20" s="20" t="s">
        <v>38</v>
      </c>
      <c r="G20" s="20" t="s">
        <v>39</v>
      </c>
    </row>
    <row r="21" spans="1:7" ht="15" customHeight="1" x14ac:dyDescent="0.35">
      <c r="A21" s="21">
        <v>2026</v>
      </c>
      <c r="B21" s="22">
        <v>1E-3</v>
      </c>
      <c r="C21" s="22">
        <v>0</v>
      </c>
      <c r="D21" s="22">
        <v>0</v>
      </c>
      <c r="F21" s="11" t="s">
        <v>40</v>
      </c>
      <c r="G21" s="12" t="s">
        <v>41</v>
      </c>
    </row>
    <row r="22" spans="1:7" ht="15" customHeight="1" x14ac:dyDescent="0.35">
      <c r="A22" s="21">
        <v>2027</v>
      </c>
      <c r="B22" s="22">
        <v>5.0000000000000001E-3</v>
      </c>
      <c r="C22" s="22">
        <v>2E-3</v>
      </c>
      <c r="D22" s="22">
        <v>0</v>
      </c>
      <c r="F22" s="11" t="s">
        <v>42</v>
      </c>
      <c r="G22" s="12" t="s">
        <v>43</v>
      </c>
    </row>
    <row r="23" spans="1:7" ht="15" customHeight="1" x14ac:dyDescent="0.35">
      <c r="A23" s="21">
        <v>2028</v>
      </c>
      <c r="B23" s="22">
        <v>1.4999999999999999E-2</v>
      </c>
      <c r="C23" s="22">
        <v>5.0000000000000001E-3</v>
      </c>
      <c r="D23" s="22">
        <v>1E-3</v>
      </c>
      <c r="F23" s="11" t="s">
        <v>44</v>
      </c>
      <c r="G23" s="12" t="s">
        <v>45</v>
      </c>
    </row>
    <row r="24" spans="1:7" ht="15" customHeight="1" x14ac:dyDescent="0.35">
      <c r="A24" s="21">
        <v>2029</v>
      </c>
      <c r="B24" s="22">
        <v>3.5000000000000003E-2</v>
      </c>
      <c r="C24" s="22">
        <v>1.2E-2</v>
      </c>
      <c r="D24" s="22">
        <v>3.0000000000000001E-3</v>
      </c>
      <c r="F24" s="11" t="s">
        <v>46</v>
      </c>
      <c r="G24" s="12" t="s">
        <v>47</v>
      </c>
    </row>
    <row r="25" spans="1:7" ht="15" customHeight="1" x14ac:dyDescent="0.35">
      <c r="A25" s="21">
        <v>2030</v>
      </c>
      <c r="B25" s="22">
        <v>0.06</v>
      </c>
      <c r="C25" s="22">
        <v>2.5000000000000001E-2</v>
      </c>
      <c r="D25" s="22">
        <v>6.0000000000000001E-3</v>
      </c>
      <c r="F25" s="11" t="s">
        <v>48</v>
      </c>
      <c r="G25" s="12" t="s">
        <v>49</v>
      </c>
    </row>
    <row r="26" spans="1:7" ht="15" customHeight="1" x14ac:dyDescent="0.35">
      <c r="A26" s="21">
        <v>2031</v>
      </c>
      <c r="B26" s="22">
        <v>0.09</v>
      </c>
      <c r="C26" s="22">
        <v>0.04</v>
      </c>
      <c r="D26" s="22">
        <v>0.01</v>
      </c>
      <c r="F26" s="11" t="s">
        <v>50</v>
      </c>
      <c r="G26" s="12" t="s">
        <v>51</v>
      </c>
    </row>
    <row r="27" spans="1:7" ht="15" customHeight="1" x14ac:dyDescent="0.35">
      <c r="A27" s="21">
        <v>2032</v>
      </c>
      <c r="B27" s="22">
        <v>0.12</v>
      </c>
      <c r="C27" s="22">
        <v>0.06</v>
      </c>
      <c r="D27" s="22">
        <v>0.02</v>
      </c>
      <c r="F27" s="11" t="s">
        <v>52</v>
      </c>
      <c r="G27" s="12" t="s">
        <v>53</v>
      </c>
    </row>
    <row r="28" spans="1:7" ht="15" customHeight="1" x14ac:dyDescent="0.35">
      <c r="A28" s="21">
        <v>2033</v>
      </c>
      <c r="B28" s="22">
        <v>0.15</v>
      </c>
      <c r="C28" s="22">
        <v>0.08</v>
      </c>
      <c r="D28" s="22">
        <v>0.03</v>
      </c>
      <c r="F28" s="11" t="s">
        <v>54</v>
      </c>
      <c r="G28" s="12" t="s">
        <v>55</v>
      </c>
    </row>
    <row r="29" spans="1:7" ht="15" customHeight="1" x14ac:dyDescent="0.35">
      <c r="A29" s="21">
        <v>2034</v>
      </c>
      <c r="B29" s="22">
        <v>0.18</v>
      </c>
      <c r="C29" s="22">
        <v>0.1</v>
      </c>
      <c r="D29" s="22">
        <v>0.04</v>
      </c>
      <c r="F29" s="11" t="s">
        <v>56</v>
      </c>
      <c r="G29" s="12" t="s">
        <v>57</v>
      </c>
    </row>
    <row r="30" spans="1:7" ht="15" customHeight="1" x14ac:dyDescent="0.35">
      <c r="A30" s="21">
        <v>2035</v>
      </c>
      <c r="B30" s="22">
        <v>0.2</v>
      </c>
      <c r="C30" s="22">
        <v>0.12</v>
      </c>
      <c r="D30" s="22">
        <v>0.05</v>
      </c>
      <c r="F30" s="11" t="s">
        <v>58</v>
      </c>
      <c r="G30" s="12" t="s">
        <v>59</v>
      </c>
    </row>
    <row r="32" spans="1:7" ht="15" customHeight="1" x14ac:dyDescent="0.35">
      <c r="A32" s="7" t="s">
        <v>60</v>
      </c>
      <c r="B32" s="8"/>
      <c r="C32" s="8"/>
      <c r="D32" s="8"/>
      <c r="E32" s="8"/>
      <c r="F32" s="8"/>
      <c r="G32" s="8"/>
    </row>
    <row r="33" spans="1:7" ht="15" customHeight="1" x14ac:dyDescent="0.35">
      <c r="A33" s="9" t="s">
        <v>61</v>
      </c>
      <c r="B33" s="22">
        <v>0.05</v>
      </c>
      <c r="C33" s="19" t="s">
        <v>62</v>
      </c>
      <c r="F33" s="11" t="s">
        <v>63</v>
      </c>
      <c r="G33" s="11" t="s">
        <v>64</v>
      </c>
    </row>
  </sheetData>
  <mergeCells count="1">
    <mergeCell ref="B18:D18"/>
  </mergeCells>
  <hyperlinks>
    <hyperlink ref="G5" r:id="rId1" xr:uid="{00000000-0004-0000-0000-000000000000}"/>
    <hyperlink ref="G6" r:id="rId2" xr:uid="{00000000-0004-0000-0000-000001000000}"/>
    <hyperlink ref="G7" r:id="rId3" xr:uid="{00000000-0004-0000-0000-000002000000}"/>
    <hyperlink ref="G21" r:id="rId4" xr:uid="{00000000-0004-0000-0000-000003000000}"/>
    <hyperlink ref="G22" r:id="rId5" xr:uid="{00000000-0004-0000-0000-000004000000}"/>
    <hyperlink ref="G23" r:id="rId6" xr:uid="{00000000-0004-0000-0000-000005000000}"/>
    <hyperlink ref="G24" r:id="rId7" xr:uid="{00000000-0004-0000-0000-000006000000}"/>
    <hyperlink ref="G25" r:id="rId8" xr:uid="{00000000-0004-0000-0000-000007000000}"/>
    <hyperlink ref="G26" r:id="rId9" xr:uid="{00000000-0004-0000-0000-000008000000}"/>
    <hyperlink ref="G27" r:id="rId10" xr:uid="{00000000-0004-0000-0000-000009000000}"/>
    <hyperlink ref="G28" r:id="rId11" xr:uid="{00000000-0004-0000-0000-00000A000000}"/>
    <hyperlink ref="G29" r:id="rId12" xr:uid="{00000000-0004-0000-0000-00000B000000}"/>
    <hyperlink ref="G30" r:id="rId13" xr:uid="{00000000-0004-0000-0000-00000C000000}"/>
  </hyperlink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K32"/>
  <sheetViews>
    <sheetView zoomScaleNormal="100" workbookViewId="0">
      <pane xSplit="1" ySplit="3" topLeftCell="B20" activePane="bottomRight" state="frozen"/>
      <selection pane="topRight" activeCell="B1" sqref="B1"/>
      <selection pane="bottomLeft" activeCell="A4" sqref="A4"/>
      <selection pane="bottomRight"/>
    </sheetView>
  </sheetViews>
  <sheetFormatPr defaultColWidth="8.6328125" defaultRowHeight="14.5" x14ac:dyDescent="0.35"/>
  <cols>
    <col min="1" max="1" width="38" customWidth="1"/>
    <col min="2" max="14" width="16" customWidth="1"/>
  </cols>
  <sheetData>
    <row r="1" spans="1:11" ht="17.25" customHeight="1" x14ac:dyDescent="0.4">
      <c r="A1" s="5" t="s">
        <v>65</v>
      </c>
    </row>
    <row r="3" spans="1:11" ht="15" customHeight="1" x14ac:dyDescent="0.35">
      <c r="A3" s="23"/>
      <c r="B3" s="24">
        <v>2026</v>
      </c>
      <c r="C3" s="24">
        <v>2027</v>
      </c>
      <c r="D3" s="24">
        <v>2028</v>
      </c>
      <c r="E3" s="24">
        <v>2029</v>
      </c>
      <c r="F3" s="24">
        <v>2030</v>
      </c>
      <c r="G3" s="24">
        <v>2031</v>
      </c>
      <c r="H3" s="24">
        <v>2032</v>
      </c>
      <c r="I3" s="24">
        <v>2033</v>
      </c>
      <c r="J3" s="24">
        <v>2034</v>
      </c>
      <c r="K3" s="24">
        <v>2035</v>
      </c>
    </row>
    <row r="4" spans="1:11" ht="15" customHeight="1" x14ac:dyDescent="0.35">
      <c r="A4" s="25" t="s">
        <v>66</v>
      </c>
    </row>
    <row r="5" spans="1:11" ht="15" customHeight="1" x14ac:dyDescent="0.35">
      <c r="A5" s="9" t="s">
        <v>67</v>
      </c>
      <c r="B5" s="17">
        <f>Assumptions!B13</f>
        <v>3000</v>
      </c>
      <c r="C5" s="17">
        <f>B5*(1+Assumptions!B33)</f>
        <v>3150</v>
      </c>
      <c r="D5" s="17">
        <f>C5*(1+Assumptions!B33)</f>
        <v>3307.5</v>
      </c>
      <c r="E5" s="17">
        <f>D5*(1+Assumptions!B33)</f>
        <v>3472.875</v>
      </c>
      <c r="F5" s="17">
        <f>E5*(1+Assumptions!B33)</f>
        <v>3646.5187500000002</v>
      </c>
      <c r="G5" s="17">
        <f>F5*(1+Assumptions!B33)</f>
        <v>3828.8446875000004</v>
      </c>
      <c r="H5" s="17">
        <f>G5*(1+Assumptions!B33)</f>
        <v>4020.2869218750006</v>
      </c>
      <c r="I5" s="17">
        <f>H5*(1+Assumptions!B33)</f>
        <v>4221.3012679687508</v>
      </c>
      <c r="J5" s="17">
        <f>I5*(1+Assumptions!B33)</f>
        <v>4432.3663313671886</v>
      </c>
      <c r="K5" s="17">
        <f>J5*(1+Assumptions!B33)</f>
        <v>4653.9846479355483</v>
      </c>
    </row>
    <row r="6" spans="1:11" ht="15" customHeight="1" x14ac:dyDescent="0.35">
      <c r="A6" s="9" t="s">
        <v>68</v>
      </c>
      <c r="B6" s="17">
        <f>Assumptions!C13</f>
        <v>10000</v>
      </c>
      <c r="C6" s="17">
        <f>B6*(1+Assumptions!B33)</f>
        <v>10500</v>
      </c>
      <c r="D6" s="17">
        <f>C6*(1+Assumptions!B33)</f>
        <v>11025</v>
      </c>
      <c r="E6" s="17">
        <f>D6*(1+Assumptions!B33)</f>
        <v>11576.25</v>
      </c>
      <c r="F6" s="17">
        <f>E6*(1+Assumptions!B33)</f>
        <v>12155.0625</v>
      </c>
      <c r="G6" s="17">
        <f>F6*(1+Assumptions!B33)</f>
        <v>12762.815625000001</v>
      </c>
      <c r="H6" s="17">
        <f>G6*(1+Assumptions!B33)</f>
        <v>13400.956406250001</v>
      </c>
      <c r="I6" s="17">
        <f>H6*(1+Assumptions!B33)</f>
        <v>14071.004226562502</v>
      </c>
      <c r="J6" s="17">
        <f>I6*(1+Assumptions!B33)</f>
        <v>14774.554437890627</v>
      </c>
      <c r="K6" s="17">
        <f>J6*(1+Assumptions!B33)</f>
        <v>15513.28215978516</v>
      </c>
    </row>
    <row r="7" spans="1:11" ht="15" customHeight="1" x14ac:dyDescent="0.35">
      <c r="A7" s="9" t="s">
        <v>69</v>
      </c>
      <c r="B7" s="17">
        <f>Assumptions!D13</f>
        <v>45000</v>
      </c>
      <c r="C7" s="17">
        <f>B7*(1+Assumptions!B33)</f>
        <v>47250</v>
      </c>
      <c r="D7" s="17">
        <f>C7*(1+Assumptions!B33)</f>
        <v>49612.5</v>
      </c>
      <c r="E7" s="17">
        <f>D7*(1+Assumptions!B33)</f>
        <v>52093.125</v>
      </c>
      <c r="F7" s="17">
        <f>E7*(1+Assumptions!B33)</f>
        <v>54697.78125</v>
      </c>
      <c r="G7" s="17">
        <f>F7*(1+Assumptions!B33)</f>
        <v>57432.670312500006</v>
      </c>
      <c r="H7" s="17">
        <f>G7*(1+Assumptions!B33)</f>
        <v>60304.303828125012</v>
      </c>
      <c r="I7" s="17">
        <f>H7*(1+Assumptions!B33)</f>
        <v>63319.519019531268</v>
      </c>
      <c r="J7" s="17">
        <f>I7*(1+Assumptions!B33)</f>
        <v>66485.494970507832</v>
      </c>
      <c r="K7" s="17">
        <f>J7*(1+Assumptions!B33)</f>
        <v>69809.769719033226</v>
      </c>
    </row>
    <row r="8" spans="1:11" ht="15" customHeight="1" x14ac:dyDescent="0.35">
      <c r="A8" s="20" t="s">
        <v>8</v>
      </c>
      <c r="B8" s="26">
        <f t="shared" ref="B8:K8" si="0">SUM(B5:B7)</f>
        <v>58000</v>
      </c>
      <c r="C8" s="26">
        <f t="shared" si="0"/>
        <v>60900</v>
      </c>
      <c r="D8" s="26">
        <f t="shared" si="0"/>
        <v>63945</v>
      </c>
      <c r="E8" s="26">
        <f t="shared" si="0"/>
        <v>67142.25</v>
      </c>
      <c r="F8" s="26">
        <f t="shared" si="0"/>
        <v>70499.362500000003</v>
      </c>
      <c r="G8" s="26">
        <f t="shared" si="0"/>
        <v>74024.330625000002</v>
      </c>
      <c r="H8" s="26">
        <f t="shared" si="0"/>
        <v>77725.547156250017</v>
      </c>
      <c r="I8" s="26">
        <f t="shared" si="0"/>
        <v>81611.824514062522</v>
      </c>
      <c r="J8" s="26">
        <f t="shared" si="0"/>
        <v>85692.415739765653</v>
      </c>
      <c r="K8" s="26">
        <f t="shared" si="0"/>
        <v>89977.036526753931</v>
      </c>
    </row>
    <row r="10" spans="1:11" ht="15" customHeight="1" x14ac:dyDescent="0.35">
      <c r="A10" s="25" t="s">
        <v>70</v>
      </c>
    </row>
    <row r="11" spans="1:11" ht="15" customHeight="1" x14ac:dyDescent="0.35">
      <c r="A11" s="9" t="s">
        <v>71</v>
      </c>
      <c r="B11" s="27">
        <f>Assumptions!B21</f>
        <v>1E-3</v>
      </c>
      <c r="C11" s="27">
        <f>Assumptions!B22</f>
        <v>5.0000000000000001E-3</v>
      </c>
      <c r="D11" s="27">
        <f>Assumptions!B23</f>
        <v>1.4999999999999999E-2</v>
      </c>
      <c r="E11" s="27">
        <f>Assumptions!B24</f>
        <v>3.5000000000000003E-2</v>
      </c>
      <c r="F11" s="27">
        <f>Assumptions!B25</f>
        <v>0.06</v>
      </c>
      <c r="G11" s="27">
        <f>Assumptions!B26</f>
        <v>0.09</v>
      </c>
      <c r="H11" s="27">
        <f>Assumptions!B27</f>
        <v>0.12</v>
      </c>
      <c r="I11" s="27">
        <f>Assumptions!B28</f>
        <v>0.15</v>
      </c>
      <c r="J11" s="27">
        <f>Assumptions!B29</f>
        <v>0.18</v>
      </c>
      <c r="K11" s="27">
        <f>Assumptions!B30</f>
        <v>0.2</v>
      </c>
    </row>
    <row r="12" spans="1:11" ht="15" customHeight="1" x14ac:dyDescent="0.35">
      <c r="A12" s="9" t="s">
        <v>72</v>
      </c>
      <c r="B12" s="27">
        <f>Assumptions!C21</f>
        <v>0</v>
      </c>
      <c r="C12" s="27">
        <f>Assumptions!C22</f>
        <v>2E-3</v>
      </c>
      <c r="D12" s="27">
        <f>Assumptions!C23</f>
        <v>5.0000000000000001E-3</v>
      </c>
      <c r="E12" s="27">
        <f>Assumptions!C24</f>
        <v>1.2E-2</v>
      </c>
      <c r="F12" s="27">
        <f>Assumptions!C25</f>
        <v>2.5000000000000001E-2</v>
      </c>
      <c r="G12" s="27">
        <f>Assumptions!C26</f>
        <v>0.04</v>
      </c>
      <c r="H12" s="27">
        <f>Assumptions!C27</f>
        <v>0.06</v>
      </c>
      <c r="I12" s="27">
        <f>Assumptions!C28</f>
        <v>0.08</v>
      </c>
      <c r="J12" s="27">
        <f>Assumptions!C29</f>
        <v>0.1</v>
      </c>
      <c r="K12" s="27">
        <f>Assumptions!C30</f>
        <v>0.12</v>
      </c>
    </row>
    <row r="13" spans="1:11" ht="15" customHeight="1" x14ac:dyDescent="0.35">
      <c r="A13" s="9" t="s">
        <v>73</v>
      </c>
      <c r="B13" s="27">
        <f>Assumptions!D21</f>
        <v>0</v>
      </c>
      <c r="C13" s="27">
        <f>Assumptions!D22</f>
        <v>0</v>
      </c>
      <c r="D13" s="27">
        <f>Assumptions!D23</f>
        <v>1E-3</v>
      </c>
      <c r="E13" s="27">
        <f>Assumptions!D24</f>
        <v>3.0000000000000001E-3</v>
      </c>
      <c r="F13" s="27">
        <f>Assumptions!D25</f>
        <v>6.0000000000000001E-3</v>
      </c>
      <c r="G13" s="27">
        <f>Assumptions!D26</f>
        <v>0.01</v>
      </c>
      <c r="H13" s="27">
        <f>Assumptions!D27</f>
        <v>0.02</v>
      </c>
      <c r="I13" s="27">
        <f>Assumptions!D28</f>
        <v>0.03</v>
      </c>
      <c r="J13" s="27">
        <f>Assumptions!D29</f>
        <v>0.04</v>
      </c>
      <c r="K13" s="27">
        <f>Assumptions!D30</f>
        <v>0.05</v>
      </c>
    </row>
    <row r="15" spans="1:11" ht="15" customHeight="1" x14ac:dyDescent="0.35">
      <c r="A15" s="25" t="s">
        <v>74</v>
      </c>
    </row>
    <row r="16" spans="1:11" ht="15" customHeight="1" x14ac:dyDescent="0.35">
      <c r="A16" s="9" t="s">
        <v>75</v>
      </c>
      <c r="B16" s="17">
        <f t="shared" ref="B16:K16" si="1">B5*B11</f>
        <v>3</v>
      </c>
      <c r="C16" s="17">
        <f t="shared" si="1"/>
        <v>15.75</v>
      </c>
      <c r="D16" s="17">
        <f t="shared" si="1"/>
        <v>49.612499999999997</v>
      </c>
      <c r="E16" s="17">
        <f t="shared" si="1"/>
        <v>121.55062500000001</v>
      </c>
      <c r="F16" s="17">
        <f t="shared" si="1"/>
        <v>218.79112499999999</v>
      </c>
      <c r="G16" s="17">
        <f t="shared" si="1"/>
        <v>344.59602187500002</v>
      </c>
      <c r="H16" s="17">
        <f t="shared" si="1"/>
        <v>482.43443062500006</v>
      </c>
      <c r="I16" s="17">
        <f t="shared" si="1"/>
        <v>633.19519019531265</v>
      </c>
      <c r="J16" s="17">
        <f t="shared" si="1"/>
        <v>797.82593964609396</v>
      </c>
      <c r="K16" s="17">
        <f t="shared" si="1"/>
        <v>930.79692958710973</v>
      </c>
    </row>
    <row r="17" spans="1:11" ht="15" customHeight="1" x14ac:dyDescent="0.35">
      <c r="A17" s="9" t="s">
        <v>76</v>
      </c>
      <c r="B17" s="17">
        <f t="shared" ref="B17:K17" si="2">B6*B12</f>
        <v>0</v>
      </c>
      <c r="C17" s="17">
        <f t="shared" si="2"/>
        <v>21</v>
      </c>
      <c r="D17" s="17">
        <f t="shared" si="2"/>
        <v>55.125</v>
      </c>
      <c r="E17" s="17">
        <f t="shared" si="2"/>
        <v>138.91499999999999</v>
      </c>
      <c r="F17" s="17">
        <f t="shared" si="2"/>
        <v>303.87656250000003</v>
      </c>
      <c r="G17" s="17">
        <f t="shared" si="2"/>
        <v>510.51262500000007</v>
      </c>
      <c r="H17" s="17">
        <f t="shared" si="2"/>
        <v>804.05738437500008</v>
      </c>
      <c r="I17" s="17">
        <f t="shared" si="2"/>
        <v>1125.6803381250002</v>
      </c>
      <c r="J17" s="17">
        <f t="shared" si="2"/>
        <v>1477.4554437890629</v>
      </c>
      <c r="K17" s="17">
        <f t="shared" si="2"/>
        <v>1861.593859174219</v>
      </c>
    </row>
    <row r="18" spans="1:11" ht="15" customHeight="1" x14ac:dyDescent="0.35">
      <c r="A18" s="9" t="s">
        <v>77</v>
      </c>
      <c r="B18" s="17">
        <f t="shared" ref="B18:K18" si="3">B7*B13</f>
        <v>0</v>
      </c>
      <c r="C18" s="17">
        <f t="shared" si="3"/>
        <v>0</v>
      </c>
      <c r="D18" s="17">
        <f t="shared" si="3"/>
        <v>49.612500000000004</v>
      </c>
      <c r="E18" s="17">
        <f t="shared" si="3"/>
        <v>156.27937500000002</v>
      </c>
      <c r="F18" s="17">
        <f t="shared" si="3"/>
        <v>328.18668750000001</v>
      </c>
      <c r="G18" s="17">
        <f t="shared" si="3"/>
        <v>574.32670312500011</v>
      </c>
      <c r="H18" s="17">
        <f t="shared" si="3"/>
        <v>1206.0860765625002</v>
      </c>
      <c r="I18" s="17">
        <f t="shared" si="3"/>
        <v>1899.5855705859381</v>
      </c>
      <c r="J18" s="17">
        <f t="shared" si="3"/>
        <v>2659.4197988203132</v>
      </c>
      <c r="K18" s="17">
        <f t="shared" si="3"/>
        <v>3490.4884859516615</v>
      </c>
    </row>
    <row r="20" spans="1:11" ht="15" customHeight="1" x14ac:dyDescent="0.35">
      <c r="A20" s="6" t="s">
        <v>78</v>
      </c>
      <c r="B20" s="28">
        <f t="shared" ref="B20:K20" si="4">SUM(B16:B18)</f>
        <v>3</v>
      </c>
      <c r="C20" s="28">
        <f t="shared" si="4"/>
        <v>36.75</v>
      </c>
      <c r="D20" s="28">
        <f t="shared" si="4"/>
        <v>154.35</v>
      </c>
      <c r="E20" s="28">
        <f t="shared" si="4"/>
        <v>416.745</v>
      </c>
      <c r="F20" s="28">
        <f t="shared" si="4"/>
        <v>850.85437500000012</v>
      </c>
      <c r="G20" s="28">
        <f t="shared" si="4"/>
        <v>1429.4353500000002</v>
      </c>
      <c r="H20" s="28">
        <f t="shared" si="4"/>
        <v>2492.5778915625006</v>
      </c>
      <c r="I20" s="28">
        <f t="shared" si="4"/>
        <v>3658.4610989062508</v>
      </c>
      <c r="J20" s="28">
        <f t="shared" si="4"/>
        <v>4934.7011822554705</v>
      </c>
      <c r="K20" s="28">
        <f t="shared" si="4"/>
        <v>6282.8792747129901</v>
      </c>
    </row>
    <row r="21" spans="1:11" ht="15" customHeight="1" x14ac:dyDescent="0.35">
      <c r="A21" s="9" t="s">
        <v>79</v>
      </c>
      <c r="B21" s="18">
        <f t="shared" ref="B21:K21" si="5">B20/B8</f>
        <v>5.1724137931034481E-5</v>
      </c>
      <c r="C21" s="18">
        <f t="shared" si="5"/>
        <v>6.03448275862069E-4</v>
      </c>
      <c r="D21" s="18">
        <f t="shared" si="5"/>
        <v>2.4137931034482756E-3</v>
      </c>
      <c r="E21" s="18">
        <f t="shared" si="5"/>
        <v>6.2068965517241377E-3</v>
      </c>
      <c r="F21" s="18">
        <f t="shared" si="5"/>
        <v>1.2068965517241381E-2</v>
      </c>
      <c r="G21" s="18">
        <f t="shared" si="5"/>
        <v>1.9310344827586208E-2</v>
      </c>
      <c r="H21" s="18">
        <f t="shared" si="5"/>
        <v>3.206896551724138E-2</v>
      </c>
      <c r="I21" s="18">
        <f t="shared" si="5"/>
        <v>4.4827586206896551E-2</v>
      </c>
      <c r="J21" s="18">
        <f t="shared" si="5"/>
        <v>5.7586206896551723E-2</v>
      </c>
      <c r="K21" s="18">
        <f t="shared" si="5"/>
        <v>6.9827586206896552E-2</v>
      </c>
    </row>
    <row r="23" spans="1:11" ht="15" customHeight="1" x14ac:dyDescent="0.35">
      <c r="A23" s="25" t="s">
        <v>80</v>
      </c>
    </row>
    <row r="24" spans="1:11" ht="15" customHeight="1" x14ac:dyDescent="0.35">
      <c r="A24" s="9" t="s">
        <v>81</v>
      </c>
      <c r="B24" s="18">
        <f t="shared" ref="B24:K24" si="6">IF(B20=0,0,B16/B20)</f>
        <v>1</v>
      </c>
      <c r="C24" s="18">
        <f t="shared" si="6"/>
        <v>0.42857142857142855</v>
      </c>
      <c r="D24" s="18">
        <f t="shared" si="6"/>
        <v>0.3214285714285714</v>
      </c>
      <c r="E24" s="18">
        <f t="shared" si="6"/>
        <v>0.29166666666666669</v>
      </c>
      <c r="F24" s="18">
        <f t="shared" si="6"/>
        <v>0.25714285714285712</v>
      </c>
      <c r="G24" s="18">
        <f t="shared" si="6"/>
        <v>0.24107142857142855</v>
      </c>
      <c r="H24" s="18">
        <f t="shared" si="6"/>
        <v>0.19354838709677419</v>
      </c>
      <c r="I24" s="18">
        <f t="shared" si="6"/>
        <v>0.17307692307692307</v>
      </c>
      <c r="J24" s="18">
        <f t="shared" si="6"/>
        <v>0.16167664670658682</v>
      </c>
      <c r="K24" s="18">
        <f t="shared" si="6"/>
        <v>0.14814814814814817</v>
      </c>
    </row>
    <row r="25" spans="1:11" ht="15" customHeight="1" x14ac:dyDescent="0.35">
      <c r="A25" s="9" t="s">
        <v>82</v>
      </c>
      <c r="B25" s="18">
        <f t="shared" ref="B25:K25" si="7">IF(B20=0,0,B17/B20)</f>
        <v>0</v>
      </c>
      <c r="C25" s="18">
        <f t="shared" si="7"/>
        <v>0.5714285714285714</v>
      </c>
      <c r="D25" s="18">
        <f t="shared" si="7"/>
        <v>0.35714285714285715</v>
      </c>
      <c r="E25" s="18">
        <f t="shared" si="7"/>
        <v>0.33333333333333331</v>
      </c>
      <c r="F25" s="18">
        <f t="shared" si="7"/>
        <v>0.35714285714285715</v>
      </c>
      <c r="G25" s="18">
        <f t="shared" si="7"/>
        <v>0.35714285714285715</v>
      </c>
      <c r="H25" s="18">
        <f t="shared" si="7"/>
        <v>0.32258064516129026</v>
      </c>
      <c r="I25" s="18">
        <f t="shared" si="7"/>
        <v>0.30769230769230765</v>
      </c>
      <c r="J25" s="18">
        <f t="shared" si="7"/>
        <v>0.29940119760479039</v>
      </c>
      <c r="K25" s="18">
        <f t="shared" si="7"/>
        <v>0.29629629629629622</v>
      </c>
    </row>
    <row r="26" spans="1:11" ht="15" customHeight="1" x14ac:dyDescent="0.35">
      <c r="A26" s="9" t="s">
        <v>83</v>
      </c>
      <c r="B26" s="18">
        <f t="shared" ref="B26:K26" si="8">IF(B20=0,0,B18/B20)</f>
        <v>0</v>
      </c>
      <c r="C26" s="18">
        <f t="shared" si="8"/>
        <v>0</v>
      </c>
      <c r="D26" s="18">
        <f t="shared" si="8"/>
        <v>0.32142857142857145</v>
      </c>
      <c r="E26" s="18">
        <f t="shared" si="8"/>
        <v>0.37500000000000006</v>
      </c>
      <c r="F26" s="18">
        <f t="shared" si="8"/>
        <v>0.38571428571428568</v>
      </c>
      <c r="G26" s="18">
        <f t="shared" si="8"/>
        <v>0.4017857142857143</v>
      </c>
      <c r="H26" s="18">
        <f t="shared" si="8"/>
        <v>0.4838709677419355</v>
      </c>
      <c r="I26" s="18">
        <f t="shared" si="8"/>
        <v>0.51923076923076927</v>
      </c>
      <c r="J26" s="18">
        <f t="shared" si="8"/>
        <v>0.53892215568862267</v>
      </c>
      <c r="K26" s="18">
        <f t="shared" si="8"/>
        <v>0.55555555555555558</v>
      </c>
    </row>
    <row r="28" spans="1:11" ht="15" customHeight="1" x14ac:dyDescent="0.35">
      <c r="A28" s="25" t="s">
        <v>84</v>
      </c>
    </row>
    <row r="29" spans="1:11" ht="15" customHeight="1" x14ac:dyDescent="0.35">
      <c r="A29" s="9" t="s">
        <v>85</v>
      </c>
      <c r="B29" s="16">
        <f>Assumptions!B12*Assumptions!B21</f>
        <v>2.4</v>
      </c>
      <c r="C29" s="16">
        <f>Assumptions!B12*Assumptions!B22</f>
        <v>12</v>
      </c>
      <c r="D29" s="16">
        <f>Assumptions!B12*Assumptions!B23</f>
        <v>36</v>
      </c>
      <c r="E29" s="16">
        <f>Assumptions!B12*Assumptions!B24</f>
        <v>84.000000000000014</v>
      </c>
      <c r="F29" s="16">
        <f>Assumptions!B12*Assumptions!B25</f>
        <v>144</v>
      </c>
      <c r="G29" s="16">
        <f>Assumptions!B12*Assumptions!B26</f>
        <v>216</v>
      </c>
      <c r="H29" s="16">
        <f>Assumptions!B12*Assumptions!B27</f>
        <v>288</v>
      </c>
      <c r="I29" s="16">
        <f>Assumptions!B12*Assumptions!B28</f>
        <v>360</v>
      </c>
      <c r="J29" s="16">
        <f>Assumptions!B12*Assumptions!B29</f>
        <v>432</v>
      </c>
      <c r="K29" s="16">
        <f>Assumptions!B12*Assumptions!B30</f>
        <v>480</v>
      </c>
    </row>
    <row r="30" spans="1:11" ht="15" customHeight="1" x14ac:dyDescent="0.35">
      <c r="A30" s="9" t="s">
        <v>86</v>
      </c>
      <c r="B30" s="16">
        <f>Assumptions!C12*Assumptions!C21</f>
        <v>0</v>
      </c>
      <c r="C30" s="16">
        <f>Assumptions!C12*Assumptions!C22</f>
        <v>3</v>
      </c>
      <c r="D30" s="16">
        <f>Assumptions!C12*Assumptions!C23</f>
        <v>7.5</v>
      </c>
      <c r="E30" s="16">
        <f>Assumptions!C12*Assumptions!C24</f>
        <v>18</v>
      </c>
      <c r="F30" s="16">
        <f>Assumptions!C12*Assumptions!C25</f>
        <v>37.5</v>
      </c>
      <c r="G30" s="16">
        <f>Assumptions!C12*Assumptions!C26</f>
        <v>60</v>
      </c>
      <c r="H30" s="16">
        <f>Assumptions!C12*Assumptions!C27</f>
        <v>90</v>
      </c>
      <c r="I30" s="16">
        <f>Assumptions!C12*Assumptions!C28</f>
        <v>120</v>
      </c>
      <c r="J30" s="16">
        <f>Assumptions!C12*Assumptions!C29</f>
        <v>150</v>
      </c>
      <c r="K30" s="16">
        <f>Assumptions!C12*Assumptions!C30</f>
        <v>180</v>
      </c>
    </row>
    <row r="31" spans="1:11" ht="15" customHeight="1" x14ac:dyDescent="0.35">
      <c r="A31" s="9" t="s">
        <v>87</v>
      </c>
      <c r="B31" s="16">
        <f>Assumptions!D12*Assumptions!D21</f>
        <v>0</v>
      </c>
      <c r="C31" s="16">
        <f>Assumptions!D12*Assumptions!D22</f>
        <v>0</v>
      </c>
      <c r="D31" s="16">
        <f>Assumptions!D12*Assumptions!D23</f>
        <v>0.5</v>
      </c>
      <c r="E31" s="16">
        <f>Assumptions!D12*Assumptions!D24</f>
        <v>1.5</v>
      </c>
      <c r="F31" s="16">
        <f>Assumptions!D12*Assumptions!D25</f>
        <v>3</v>
      </c>
      <c r="G31" s="16">
        <f>Assumptions!D12*Assumptions!D26</f>
        <v>5</v>
      </c>
      <c r="H31" s="16">
        <f>Assumptions!D12*Assumptions!D27</f>
        <v>10</v>
      </c>
      <c r="I31" s="16">
        <f>Assumptions!D12*Assumptions!D28</f>
        <v>15</v>
      </c>
      <c r="J31" s="16">
        <f>Assumptions!D12*Assumptions!D29</f>
        <v>20</v>
      </c>
      <c r="K31" s="16">
        <f>Assumptions!D12*Assumptions!D30</f>
        <v>25</v>
      </c>
    </row>
    <row r="32" spans="1:11" ht="15" customHeight="1" x14ac:dyDescent="0.35">
      <c r="A32" s="20" t="s">
        <v>88</v>
      </c>
      <c r="B32" s="29">
        <f t="shared" ref="B32:K32" si="9">SUM(B29:B31)</f>
        <v>2.4</v>
      </c>
      <c r="C32" s="29">
        <f t="shared" si="9"/>
        <v>15</v>
      </c>
      <c r="D32" s="29">
        <f t="shared" si="9"/>
        <v>44</v>
      </c>
      <c r="E32" s="29">
        <f t="shared" si="9"/>
        <v>103.50000000000001</v>
      </c>
      <c r="F32" s="29">
        <f t="shared" si="9"/>
        <v>184.5</v>
      </c>
      <c r="G32" s="29">
        <f t="shared" si="9"/>
        <v>281</v>
      </c>
      <c r="H32" s="29">
        <f t="shared" si="9"/>
        <v>388</v>
      </c>
      <c r="I32" s="29">
        <f t="shared" si="9"/>
        <v>495</v>
      </c>
      <c r="J32" s="29">
        <f t="shared" si="9"/>
        <v>602</v>
      </c>
      <c r="K32" s="29">
        <f t="shared" si="9"/>
        <v>685</v>
      </c>
    </row>
  </sheetData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M93"/>
  <sheetViews>
    <sheetView zoomScale="72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87" sqref="B87"/>
    </sheetView>
  </sheetViews>
  <sheetFormatPr defaultColWidth="8.6328125" defaultRowHeight="14.5" x14ac:dyDescent="0.35"/>
  <cols>
    <col min="1" max="1" width="42" customWidth="1"/>
    <col min="2" max="2" width="18" customWidth="1"/>
    <col min="3" max="13" width="15" customWidth="1"/>
    <col min="14" max="14" width="55" customWidth="1"/>
  </cols>
  <sheetData>
    <row r="1" spans="1:13" ht="18" x14ac:dyDescent="0.4">
      <c r="A1" s="5" t="s">
        <v>89</v>
      </c>
    </row>
    <row r="2" spans="1:13" x14ac:dyDescent="0.35">
      <c r="A2" s="30" t="s">
        <v>90</v>
      </c>
    </row>
    <row r="4" spans="1:13" x14ac:dyDescent="0.35">
      <c r="A4" s="7"/>
      <c r="B4" s="31" t="s">
        <v>91</v>
      </c>
      <c r="C4" s="32">
        <v>2026</v>
      </c>
      <c r="D4" s="32">
        <v>2027</v>
      </c>
      <c r="E4" s="32">
        <v>2028</v>
      </c>
      <c r="F4" s="32">
        <v>2029</v>
      </c>
      <c r="G4" s="32">
        <v>2030</v>
      </c>
      <c r="H4" s="32">
        <v>2031</v>
      </c>
      <c r="I4" s="32">
        <v>2032</v>
      </c>
      <c r="J4" s="32">
        <v>2033</v>
      </c>
      <c r="K4" s="32">
        <v>2034</v>
      </c>
      <c r="L4" s="32">
        <v>2035</v>
      </c>
      <c r="M4" s="31" t="s">
        <v>38</v>
      </c>
    </row>
    <row r="5" spans="1:13" x14ac:dyDescent="0.35">
      <c r="A5" s="25" t="s">
        <v>92</v>
      </c>
    </row>
    <row r="6" spans="1:13" x14ac:dyDescent="0.35">
      <c r="A6" s="9" t="s">
        <v>93</v>
      </c>
      <c r="C6" s="33">
        <f>Projection!B20</f>
        <v>3</v>
      </c>
      <c r="D6" s="33">
        <f>Projection!C20</f>
        <v>36.75</v>
      </c>
      <c r="E6" s="33">
        <f>Projection!D20</f>
        <v>154.35</v>
      </c>
      <c r="F6" s="33">
        <f>Projection!E20</f>
        <v>416.745</v>
      </c>
      <c r="G6" s="33">
        <f>Projection!F20</f>
        <v>850.85437500000012</v>
      </c>
      <c r="H6" s="33">
        <f>Projection!G20</f>
        <v>1429.4353500000002</v>
      </c>
      <c r="I6" s="33">
        <f>Projection!H20</f>
        <v>2492.5778915625006</v>
      </c>
      <c r="J6" s="33">
        <f>Projection!I20</f>
        <v>3658.4610989062508</v>
      </c>
      <c r="K6" s="33">
        <f>Projection!J20</f>
        <v>4934.7011822554705</v>
      </c>
      <c r="L6" s="33">
        <f>Projection!K20</f>
        <v>6282.8792747129901</v>
      </c>
    </row>
    <row r="7" spans="1:13" x14ac:dyDescent="0.35">
      <c r="A7" s="9" t="s">
        <v>94</v>
      </c>
      <c r="C7" s="34">
        <f t="shared" ref="C7:L7" si="0">C6*1000</f>
        <v>3000</v>
      </c>
      <c r="D7" s="34">
        <f t="shared" si="0"/>
        <v>36750</v>
      </c>
      <c r="E7" s="34">
        <f t="shared" si="0"/>
        <v>154350</v>
      </c>
      <c r="F7" s="34">
        <f t="shared" si="0"/>
        <v>416745</v>
      </c>
      <c r="G7" s="34">
        <f t="shared" si="0"/>
        <v>850854.37500000012</v>
      </c>
      <c r="H7" s="34">
        <f t="shared" si="0"/>
        <v>1429435.35</v>
      </c>
      <c r="I7" s="34">
        <f t="shared" si="0"/>
        <v>2492577.8915625005</v>
      </c>
      <c r="J7" s="34">
        <f t="shared" si="0"/>
        <v>3658461.0989062507</v>
      </c>
      <c r="K7" s="34">
        <f t="shared" si="0"/>
        <v>4934701.1822554702</v>
      </c>
      <c r="L7" s="34">
        <f t="shared" si="0"/>
        <v>6282879.27471299</v>
      </c>
      <c r="M7" s="11" t="s">
        <v>95</v>
      </c>
    </row>
    <row r="9" spans="1:13" x14ac:dyDescent="0.35">
      <c r="A9" s="35" t="s">
        <v>96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</row>
    <row r="10" spans="1:13" x14ac:dyDescent="0.35">
      <c r="A10" s="9" t="s">
        <v>97</v>
      </c>
      <c r="C10" s="37">
        <v>0.8</v>
      </c>
      <c r="D10" s="37">
        <v>1</v>
      </c>
      <c r="E10" s="37">
        <v>1.2</v>
      </c>
      <c r="F10" s="37">
        <v>1.4</v>
      </c>
      <c r="G10" s="37">
        <v>1.6</v>
      </c>
      <c r="H10" s="37">
        <v>1.8</v>
      </c>
      <c r="I10" s="37">
        <v>2</v>
      </c>
      <c r="J10" s="37">
        <v>2.2000000000000002</v>
      </c>
      <c r="K10" s="37">
        <v>2.4</v>
      </c>
      <c r="L10" s="37">
        <v>2.5</v>
      </c>
      <c r="M10" s="11" t="s">
        <v>98</v>
      </c>
    </row>
    <row r="11" spans="1:13" x14ac:dyDescent="0.35">
      <c r="A11" s="9" t="s">
        <v>99</v>
      </c>
      <c r="C11" s="34">
        <f t="shared" ref="C11:L11" si="1">C7*C10</f>
        <v>2400</v>
      </c>
      <c r="D11" s="34">
        <f t="shared" si="1"/>
        <v>36750</v>
      </c>
      <c r="E11" s="34">
        <f t="shared" si="1"/>
        <v>185220</v>
      </c>
      <c r="F11" s="34">
        <f t="shared" si="1"/>
        <v>583443</v>
      </c>
      <c r="G11" s="34">
        <f t="shared" si="1"/>
        <v>1361367.0000000002</v>
      </c>
      <c r="H11" s="34">
        <f t="shared" si="1"/>
        <v>2572983.6300000004</v>
      </c>
      <c r="I11" s="34">
        <f t="shared" si="1"/>
        <v>4985155.783125001</v>
      </c>
      <c r="J11" s="34">
        <f t="shared" si="1"/>
        <v>8048614.417593752</v>
      </c>
      <c r="K11" s="34">
        <f t="shared" si="1"/>
        <v>11843282.837413128</v>
      </c>
      <c r="L11" s="34">
        <f t="shared" si="1"/>
        <v>15707198.186782476</v>
      </c>
    </row>
    <row r="12" spans="1:13" x14ac:dyDescent="0.35">
      <c r="A12" s="9" t="s">
        <v>100</v>
      </c>
      <c r="C12" s="37">
        <v>8</v>
      </c>
      <c r="D12" s="37">
        <v>7</v>
      </c>
      <c r="E12" s="37">
        <v>6</v>
      </c>
      <c r="F12" s="37">
        <v>5.5</v>
      </c>
      <c r="G12" s="37">
        <v>5</v>
      </c>
      <c r="H12" s="37">
        <v>4.5</v>
      </c>
      <c r="I12" s="37">
        <v>4</v>
      </c>
      <c r="J12" s="37">
        <v>3.5</v>
      </c>
      <c r="K12" s="37">
        <v>3</v>
      </c>
      <c r="L12" s="37">
        <v>2.5</v>
      </c>
      <c r="M12" s="11" t="s">
        <v>101</v>
      </c>
    </row>
    <row r="13" spans="1:13" x14ac:dyDescent="0.35">
      <c r="A13" s="20" t="s">
        <v>102</v>
      </c>
      <c r="C13" s="38">
        <f t="shared" ref="C13:L13" si="2">C11*C12/10000</f>
        <v>1.92</v>
      </c>
      <c r="D13" s="38">
        <f t="shared" si="2"/>
        <v>25.725000000000001</v>
      </c>
      <c r="E13" s="38">
        <f t="shared" si="2"/>
        <v>111.13200000000001</v>
      </c>
      <c r="F13" s="38">
        <f t="shared" si="2"/>
        <v>320.89364999999998</v>
      </c>
      <c r="G13" s="38">
        <f t="shared" si="2"/>
        <v>680.68350000000009</v>
      </c>
      <c r="H13" s="38">
        <f t="shared" si="2"/>
        <v>1157.8426335000001</v>
      </c>
      <c r="I13" s="38">
        <f t="shared" si="2"/>
        <v>1994.0623132500004</v>
      </c>
      <c r="J13" s="38">
        <f t="shared" si="2"/>
        <v>2817.0150461578132</v>
      </c>
      <c r="K13" s="38">
        <f t="shared" si="2"/>
        <v>3552.9848512239382</v>
      </c>
      <c r="L13" s="38">
        <f t="shared" si="2"/>
        <v>3926.799546695619</v>
      </c>
    </row>
    <row r="15" spans="1:13" x14ac:dyDescent="0.35">
      <c r="A15" s="35" t="s">
        <v>103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</row>
    <row r="16" spans="1:13" x14ac:dyDescent="0.35">
      <c r="A16" s="9" t="s">
        <v>104</v>
      </c>
      <c r="C16" s="22">
        <v>0.05</v>
      </c>
      <c r="D16" s="22">
        <v>0.08</v>
      </c>
      <c r="E16" s="22">
        <v>0.1</v>
      </c>
      <c r="F16" s="22">
        <v>0.12</v>
      </c>
      <c r="G16" s="22">
        <v>0.14000000000000001</v>
      </c>
      <c r="H16" s="22">
        <v>0.15</v>
      </c>
      <c r="I16" s="22">
        <v>0.16</v>
      </c>
      <c r="J16" s="22">
        <v>0.17</v>
      </c>
      <c r="K16" s="22">
        <v>0.18</v>
      </c>
      <c r="L16" s="22">
        <v>0.2</v>
      </c>
      <c r="M16" s="11" t="s">
        <v>105</v>
      </c>
    </row>
    <row r="17" spans="1:13" x14ac:dyDescent="0.35">
      <c r="A17" s="9" t="s">
        <v>106</v>
      </c>
      <c r="C17" s="34">
        <f t="shared" ref="C17:L17" si="3">C7*C16</f>
        <v>150</v>
      </c>
      <c r="D17" s="34">
        <f t="shared" si="3"/>
        <v>2940</v>
      </c>
      <c r="E17" s="34">
        <f t="shared" si="3"/>
        <v>15435</v>
      </c>
      <c r="F17" s="34">
        <f t="shared" si="3"/>
        <v>50009.4</v>
      </c>
      <c r="G17" s="34">
        <f t="shared" si="3"/>
        <v>119119.61250000003</v>
      </c>
      <c r="H17" s="34">
        <f t="shared" si="3"/>
        <v>214415.30250000002</v>
      </c>
      <c r="I17" s="34">
        <f t="shared" si="3"/>
        <v>398812.46265000012</v>
      </c>
      <c r="J17" s="34">
        <f t="shared" si="3"/>
        <v>621938.38681406272</v>
      </c>
      <c r="K17" s="34">
        <f t="shared" si="3"/>
        <v>888246.21280598466</v>
      </c>
      <c r="L17" s="34">
        <f t="shared" si="3"/>
        <v>1256575.8549425981</v>
      </c>
    </row>
    <row r="18" spans="1:13" x14ac:dyDescent="0.35">
      <c r="A18" s="9" t="s">
        <v>107</v>
      </c>
      <c r="C18" s="22">
        <v>0.15</v>
      </c>
      <c r="D18" s="22">
        <v>0.18</v>
      </c>
      <c r="E18" s="22">
        <v>0.22</v>
      </c>
      <c r="F18" s="22">
        <v>0.25</v>
      </c>
      <c r="G18" s="22">
        <v>0.28000000000000003</v>
      </c>
      <c r="H18" s="22">
        <v>0.3</v>
      </c>
      <c r="I18" s="22">
        <v>0.32</v>
      </c>
      <c r="J18" s="22">
        <v>0.33</v>
      </c>
      <c r="K18" s="22">
        <v>0.34</v>
      </c>
      <c r="L18" s="22">
        <v>0.35</v>
      </c>
      <c r="M18" s="11" t="s">
        <v>108</v>
      </c>
    </row>
    <row r="19" spans="1:13" x14ac:dyDescent="0.35">
      <c r="A19" s="9" t="s">
        <v>109</v>
      </c>
      <c r="C19" s="34">
        <f t="shared" ref="C19:L19" si="4">C17*C18</f>
        <v>22.5</v>
      </c>
      <c r="D19" s="34">
        <f t="shared" si="4"/>
        <v>529.19999999999993</v>
      </c>
      <c r="E19" s="34">
        <f t="shared" si="4"/>
        <v>3395.7</v>
      </c>
      <c r="F19" s="34">
        <f t="shared" si="4"/>
        <v>12502.35</v>
      </c>
      <c r="G19" s="34">
        <f t="shared" si="4"/>
        <v>33353.491500000011</v>
      </c>
      <c r="H19" s="34">
        <f t="shared" si="4"/>
        <v>64324.590750000003</v>
      </c>
      <c r="I19" s="34">
        <f t="shared" si="4"/>
        <v>127619.98804800004</v>
      </c>
      <c r="J19" s="34">
        <f t="shared" si="4"/>
        <v>205239.66764864069</v>
      </c>
      <c r="K19" s="34">
        <f t="shared" si="4"/>
        <v>302003.71235403483</v>
      </c>
      <c r="L19" s="34">
        <f t="shared" si="4"/>
        <v>439801.54922990932</v>
      </c>
    </row>
    <row r="20" spans="1:13" x14ac:dyDescent="0.35">
      <c r="A20" s="9" t="s">
        <v>110</v>
      </c>
      <c r="C20" s="39">
        <v>50</v>
      </c>
      <c r="D20" s="39">
        <v>45</v>
      </c>
      <c r="E20" s="39">
        <v>40</v>
      </c>
      <c r="F20" s="39">
        <v>38</v>
      </c>
      <c r="G20" s="39">
        <v>35</v>
      </c>
      <c r="H20" s="39">
        <v>32</v>
      </c>
      <c r="I20" s="39">
        <v>30</v>
      </c>
      <c r="J20" s="39">
        <v>28</v>
      </c>
      <c r="K20" s="39">
        <v>26</v>
      </c>
      <c r="L20" s="39">
        <v>25</v>
      </c>
      <c r="M20" s="11" t="s">
        <v>111</v>
      </c>
    </row>
    <row r="21" spans="1:13" x14ac:dyDescent="0.35">
      <c r="A21" s="9" t="s">
        <v>112</v>
      </c>
      <c r="C21" s="34">
        <f t="shared" ref="C21:L21" si="5">C19*C20/10000</f>
        <v>0.1125</v>
      </c>
      <c r="D21" s="34">
        <f t="shared" si="5"/>
        <v>2.3813999999999997</v>
      </c>
      <c r="E21" s="34">
        <f t="shared" si="5"/>
        <v>13.582800000000001</v>
      </c>
      <c r="F21" s="34">
        <f t="shared" si="5"/>
        <v>47.508929999999999</v>
      </c>
      <c r="G21" s="34">
        <f t="shared" si="5"/>
        <v>116.73722025000004</v>
      </c>
      <c r="H21" s="34">
        <f t="shared" si="5"/>
        <v>205.83869040000002</v>
      </c>
      <c r="I21" s="34">
        <f t="shared" si="5"/>
        <v>382.85996414400012</v>
      </c>
      <c r="J21" s="34">
        <f t="shared" si="5"/>
        <v>574.67106941619397</v>
      </c>
      <c r="K21" s="34">
        <f t="shared" si="5"/>
        <v>785.20965212049055</v>
      </c>
      <c r="L21" s="34">
        <f t="shared" si="5"/>
        <v>1099.5038730747733</v>
      </c>
    </row>
    <row r="22" spans="1:13" x14ac:dyDescent="0.35">
      <c r="A22" s="9" t="s">
        <v>113</v>
      </c>
      <c r="C22" s="22">
        <v>0.35</v>
      </c>
      <c r="D22" s="22">
        <v>0.33</v>
      </c>
      <c r="E22" s="22">
        <v>0.3</v>
      </c>
      <c r="F22" s="22">
        <v>0.28000000000000003</v>
      </c>
      <c r="G22" s="22">
        <v>0.27</v>
      </c>
      <c r="H22" s="22">
        <v>0.25</v>
      </c>
      <c r="I22" s="22">
        <v>0.24</v>
      </c>
      <c r="J22" s="22">
        <v>0.23</v>
      </c>
      <c r="K22" s="22">
        <v>0.22</v>
      </c>
      <c r="L22" s="22">
        <v>0.2</v>
      </c>
      <c r="M22" s="11" t="s">
        <v>114</v>
      </c>
    </row>
    <row r="23" spans="1:13" x14ac:dyDescent="0.35">
      <c r="A23" s="20" t="s">
        <v>115</v>
      </c>
      <c r="C23" s="38">
        <f t="shared" ref="C23:L23" si="6">C21*C22</f>
        <v>3.9375E-2</v>
      </c>
      <c r="D23" s="38">
        <f t="shared" si="6"/>
        <v>0.78586199999999995</v>
      </c>
      <c r="E23" s="38">
        <f t="shared" si="6"/>
        <v>4.07484</v>
      </c>
      <c r="F23" s="38">
        <f t="shared" si="6"/>
        <v>13.302500400000001</v>
      </c>
      <c r="G23" s="38">
        <f t="shared" si="6"/>
        <v>31.519049467500011</v>
      </c>
      <c r="H23" s="38">
        <f t="shared" si="6"/>
        <v>51.459672600000005</v>
      </c>
      <c r="I23" s="38">
        <f t="shared" si="6"/>
        <v>91.886391394560022</v>
      </c>
      <c r="J23" s="38">
        <f t="shared" si="6"/>
        <v>132.17434596572463</v>
      </c>
      <c r="K23" s="38">
        <f t="shared" si="6"/>
        <v>172.74612346650792</v>
      </c>
      <c r="L23" s="38">
        <f t="shared" si="6"/>
        <v>219.90077461495468</v>
      </c>
    </row>
    <row r="25" spans="1:13" x14ac:dyDescent="0.35">
      <c r="A25" s="35" t="s">
        <v>116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</row>
    <row r="26" spans="1:13" x14ac:dyDescent="0.35">
      <c r="A26" s="9" t="s">
        <v>117</v>
      </c>
      <c r="C26" s="22">
        <v>0.3</v>
      </c>
      <c r="D26" s="22">
        <v>0.35</v>
      </c>
      <c r="E26" s="22">
        <v>0.4</v>
      </c>
      <c r="F26" s="22">
        <v>0.45</v>
      </c>
      <c r="G26" s="22">
        <v>0.5</v>
      </c>
      <c r="H26" s="22">
        <v>0.55000000000000004</v>
      </c>
      <c r="I26" s="22">
        <v>0.57999999999999996</v>
      </c>
      <c r="J26" s="22">
        <v>0.6</v>
      </c>
      <c r="K26" s="22">
        <v>0.62</v>
      </c>
      <c r="L26" s="22">
        <v>0.65</v>
      </c>
      <c r="M26" s="11" t="s">
        <v>118</v>
      </c>
    </row>
    <row r="27" spans="1:13" x14ac:dyDescent="0.35">
      <c r="A27" s="9" t="s">
        <v>119</v>
      </c>
      <c r="C27" s="34">
        <f t="shared" ref="C27:L27" si="7">C7*C26</f>
        <v>900</v>
      </c>
      <c r="D27" s="34">
        <f t="shared" si="7"/>
        <v>12862.5</v>
      </c>
      <c r="E27" s="34">
        <f t="shared" si="7"/>
        <v>61740</v>
      </c>
      <c r="F27" s="34">
        <f t="shared" si="7"/>
        <v>187535.25</v>
      </c>
      <c r="G27" s="34">
        <f t="shared" si="7"/>
        <v>425427.18750000006</v>
      </c>
      <c r="H27" s="34">
        <f t="shared" si="7"/>
        <v>786189.44250000012</v>
      </c>
      <c r="I27" s="34">
        <f t="shared" si="7"/>
        <v>1445695.1771062501</v>
      </c>
      <c r="J27" s="34">
        <f t="shared" si="7"/>
        <v>2195076.6593437502</v>
      </c>
      <c r="K27" s="34">
        <f t="shared" si="7"/>
        <v>3059514.7329983916</v>
      </c>
      <c r="L27" s="34">
        <f t="shared" si="7"/>
        <v>4083871.5285634436</v>
      </c>
    </row>
    <row r="28" spans="1:13" x14ac:dyDescent="0.35">
      <c r="A28" s="9" t="s">
        <v>120</v>
      </c>
      <c r="C28" s="37">
        <v>12</v>
      </c>
      <c r="D28" s="37">
        <v>11</v>
      </c>
      <c r="E28" s="37">
        <v>10</v>
      </c>
      <c r="F28" s="37">
        <v>9</v>
      </c>
      <c r="G28" s="37">
        <v>8</v>
      </c>
      <c r="H28" s="37">
        <v>7</v>
      </c>
      <c r="I28" s="37">
        <v>6.5</v>
      </c>
      <c r="J28" s="37">
        <v>6</v>
      </c>
      <c r="K28" s="37">
        <v>5.5</v>
      </c>
      <c r="L28" s="37">
        <v>5</v>
      </c>
      <c r="M28" s="11" t="s">
        <v>121</v>
      </c>
    </row>
    <row r="29" spans="1:13" x14ac:dyDescent="0.35">
      <c r="A29" s="20" t="s">
        <v>122</v>
      </c>
      <c r="C29" s="38">
        <f t="shared" ref="C29:L29" si="8">C27*C28/10000</f>
        <v>1.08</v>
      </c>
      <c r="D29" s="38">
        <f t="shared" si="8"/>
        <v>14.14875</v>
      </c>
      <c r="E29" s="38">
        <f t="shared" si="8"/>
        <v>61.74</v>
      </c>
      <c r="F29" s="38">
        <f t="shared" si="8"/>
        <v>168.78172499999999</v>
      </c>
      <c r="G29" s="38">
        <f t="shared" si="8"/>
        <v>340.34175000000005</v>
      </c>
      <c r="H29" s="38">
        <f t="shared" si="8"/>
        <v>550.33260975000007</v>
      </c>
      <c r="I29" s="38">
        <f t="shared" si="8"/>
        <v>939.70186511906252</v>
      </c>
      <c r="J29" s="38">
        <f t="shared" si="8"/>
        <v>1317.04599560625</v>
      </c>
      <c r="K29" s="38">
        <f t="shared" si="8"/>
        <v>1682.7331031491153</v>
      </c>
      <c r="L29" s="38">
        <f t="shared" si="8"/>
        <v>2041.9357642817217</v>
      </c>
    </row>
    <row r="31" spans="1:13" x14ac:dyDescent="0.35">
      <c r="A31" s="35" t="s">
        <v>123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</row>
    <row r="32" spans="1:13" x14ac:dyDescent="0.35">
      <c r="A32" s="9" t="s">
        <v>124</v>
      </c>
      <c r="C32" s="40">
        <f>Projection!B32</f>
        <v>2.4</v>
      </c>
      <c r="D32" s="40">
        <f>Projection!C32-Projection!B32</f>
        <v>12.6</v>
      </c>
      <c r="E32" s="40">
        <f>Projection!D32-Projection!C32</f>
        <v>29</v>
      </c>
      <c r="F32" s="40">
        <f>Projection!E32-Projection!D32</f>
        <v>59.500000000000014</v>
      </c>
      <c r="G32" s="40">
        <f>Projection!F32-Projection!E32</f>
        <v>80.999999999999986</v>
      </c>
      <c r="H32" s="40">
        <f>Projection!G32-Projection!F32</f>
        <v>96.5</v>
      </c>
      <c r="I32" s="40">
        <f>Projection!H32-Projection!G32</f>
        <v>107</v>
      </c>
      <c r="J32" s="40">
        <f>Projection!I32-Projection!H32</f>
        <v>107</v>
      </c>
      <c r="K32" s="40">
        <f>Projection!J32-Projection!I32</f>
        <v>107</v>
      </c>
      <c r="L32" s="40">
        <f>Projection!K32-Projection!J32</f>
        <v>83</v>
      </c>
      <c r="M32" s="11" t="s">
        <v>125</v>
      </c>
    </row>
    <row r="33" spans="1:13" x14ac:dyDescent="0.35">
      <c r="A33" s="9" t="s">
        <v>126</v>
      </c>
      <c r="C33" s="41">
        <v>500</v>
      </c>
      <c r="D33" s="41">
        <v>450</v>
      </c>
      <c r="E33" s="41">
        <v>400</v>
      </c>
      <c r="F33" s="41">
        <v>375</v>
      </c>
      <c r="G33" s="41">
        <v>350</v>
      </c>
      <c r="H33" s="41">
        <v>325</v>
      </c>
      <c r="I33" s="41">
        <v>300</v>
      </c>
      <c r="J33" s="41">
        <v>275</v>
      </c>
      <c r="K33" s="41">
        <v>250</v>
      </c>
      <c r="L33" s="41">
        <v>225</v>
      </c>
      <c r="M33" s="11" t="s">
        <v>127</v>
      </c>
    </row>
    <row r="34" spans="1:13" x14ac:dyDescent="0.35">
      <c r="A34" s="9" t="s">
        <v>128</v>
      </c>
      <c r="C34" s="34">
        <f t="shared" ref="C34:L34" si="9">C32*C33/1000</f>
        <v>1.2</v>
      </c>
      <c r="D34" s="34">
        <f t="shared" si="9"/>
        <v>5.67</v>
      </c>
      <c r="E34" s="34">
        <f t="shared" si="9"/>
        <v>11.6</v>
      </c>
      <c r="F34" s="34">
        <f t="shared" si="9"/>
        <v>22.312500000000004</v>
      </c>
      <c r="G34" s="34">
        <f t="shared" si="9"/>
        <v>28.349999999999998</v>
      </c>
      <c r="H34" s="34">
        <f t="shared" si="9"/>
        <v>31.362500000000001</v>
      </c>
      <c r="I34" s="34">
        <f t="shared" si="9"/>
        <v>32.1</v>
      </c>
      <c r="J34" s="34">
        <f t="shared" si="9"/>
        <v>29.425000000000001</v>
      </c>
      <c r="K34" s="34">
        <f t="shared" si="9"/>
        <v>26.75</v>
      </c>
      <c r="L34" s="34">
        <f t="shared" si="9"/>
        <v>18.675000000000001</v>
      </c>
    </row>
    <row r="35" spans="1:13" x14ac:dyDescent="0.35">
      <c r="A35" s="9" t="s">
        <v>129</v>
      </c>
      <c r="C35" s="41">
        <v>150</v>
      </c>
      <c r="D35" s="41">
        <v>145</v>
      </c>
      <c r="E35" s="41">
        <v>140</v>
      </c>
      <c r="F35" s="41">
        <v>135</v>
      </c>
      <c r="G35" s="41">
        <v>130</v>
      </c>
      <c r="H35" s="41">
        <v>125</v>
      </c>
      <c r="I35" s="41">
        <v>120</v>
      </c>
      <c r="J35" s="41">
        <v>115</v>
      </c>
      <c r="K35" s="41">
        <v>110</v>
      </c>
      <c r="L35" s="41">
        <v>100</v>
      </c>
      <c r="M35" s="11" t="s">
        <v>130</v>
      </c>
    </row>
    <row r="36" spans="1:13" x14ac:dyDescent="0.35">
      <c r="A36" s="9" t="s">
        <v>131</v>
      </c>
      <c r="C36" s="40">
        <f>Projection!B32</f>
        <v>2.4</v>
      </c>
      <c r="D36" s="40">
        <f>Projection!C32</f>
        <v>15</v>
      </c>
      <c r="E36" s="40">
        <f>Projection!D32</f>
        <v>44</v>
      </c>
      <c r="F36" s="40">
        <f>Projection!E32</f>
        <v>103.50000000000001</v>
      </c>
      <c r="G36" s="40">
        <f>Projection!F32</f>
        <v>184.5</v>
      </c>
      <c r="H36" s="40">
        <f>Projection!G32</f>
        <v>281</v>
      </c>
      <c r="I36" s="40">
        <f>Projection!H32</f>
        <v>388</v>
      </c>
      <c r="J36" s="40">
        <f>Projection!I32</f>
        <v>495</v>
      </c>
      <c r="K36" s="40">
        <f>Projection!J32</f>
        <v>602</v>
      </c>
      <c r="L36" s="40">
        <f>Projection!K32</f>
        <v>685</v>
      </c>
    </row>
    <row r="37" spans="1:13" x14ac:dyDescent="0.35">
      <c r="A37" s="9" t="s">
        <v>132</v>
      </c>
      <c r="C37" s="34">
        <f t="shared" ref="C37:L37" si="10">C36*C35/1000</f>
        <v>0.36</v>
      </c>
      <c r="D37" s="34">
        <f t="shared" si="10"/>
        <v>2.1749999999999998</v>
      </c>
      <c r="E37" s="34">
        <f t="shared" si="10"/>
        <v>6.16</v>
      </c>
      <c r="F37" s="34">
        <f t="shared" si="10"/>
        <v>13.972500000000002</v>
      </c>
      <c r="G37" s="34">
        <f t="shared" si="10"/>
        <v>23.984999999999999</v>
      </c>
      <c r="H37" s="34">
        <f t="shared" si="10"/>
        <v>35.125</v>
      </c>
      <c r="I37" s="34">
        <f t="shared" si="10"/>
        <v>46.56</v>
      </c>
      <c r="J37" s="34">
        <f t="shared" si="10"/>
        <v>56.924999999999997</v>
      </c>
      <c r="K37" s="34">
        <f t="shared" si="10"/>
        <v>66.22</v>
      </c>
      <c r="L37" s="34">
        <f t="shared" si="10"/>
        <v>68.5</v>
      </c>
    </row>
    <row r="38" spans="1:13" x14ac:dyDescent="0.35">
      <c r="A38" s="20" t="s">
        <v>133</v>
      </c>
      <c r="C38" s="38">
        <f t="shared" ref="C38:L38" si="11">C34+C37</f>
        <v>1.56</v>
      </c>
      <c r="D38" s="38">
        <f t="shared" si="11"/>
        <v>7.8449999999999998</v>
      </c>
      <c r="E38" s="38">
        <f t="shared" si="11"/>
        <v>17.759999999999998</v>
      </c>
      <c r="F38" s="38">
        <f t="shared" si="11"/>
        <v>36.285000000000004</v>
      </c>
      <c r="G38" s="38">
        <f t="shared" si="11"/>
        <v>52.334999999999994</v>
      </c>
      <c r="H38" s="38">
        <f t="shared" si="11"/>
        <v>66.487499999999997</v>
      </c>
      <c r="I38" s="38">
        <f t="shared" si="11"/>
        <v>78.66</v>
      </c>
      <c r="J38" s="38">
        <f t="shared" si="11"/>
        <v>86.35</v>
      </c>
      <c r="K38" s="38">
        <f t="shared" si="11"/>
        <v>92.97</v>
      </c>
      <c r="L38" s="38">
        <f t="shared" si="11"/>
        <v>87.174999999999997</v>
      </c>
    </row>
    <row r="40" spans="1:13" x14ac:dyDescent="0.35">
      <c r="A40" s="35" t="s">
        <v>134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</row>
    <row r="41" spans="1:13" x14ac:dyDescent="0.35">
      <c r="A41" s="9" t="s">
        <v>135</v>
      </c>
      <c r="C41" s="22">
        <v>0.1</v>
      </c>
      <c r="D41" s="22">
        <v>0.12</v>
      </c>
      <c r="E41" s="22">
        <v>0.14000000000000001</v>
      </c>
      <c r="F41" s="22">
        <v>0.15</v>
      </c>
      <c r="G41" s="22">
        <v>0.16</v>
      </c>
      <c r="H41" s="22">
        <v>0.17</v>
      </c>
      <c r="I41" s="22">
        <v>0.18</v>
      </c>
      <c r="J41" s="22">
        <v>0.19</v>
      </c>
      <c r="K41" s="22">
        <v>0.2</v>
      </c>
      <c r="L41" s="22">
        <v>0.2</v>
      </c>
      <c r="M41" s="11" t="s">
        <v>136</v>
      </c>
    </row>
    <row r="42" spans="1:13" x14ac:dyDescent="0.35">
      <c r="A42" s="20" t="s">
        <v>137</v>
      </c>
      <c r="C42" s="38">
        <f t="shared" ref="C42:L42" si="12">C13*C41</f>
        <v>0.192</v>
      </c>
      <c r="D42" s="38">
        <f t="shared" si="12"/>
        <v>3.0870000000000002</v>
      </c>
      <c r="E42" s="38">
        <f t="shared" si="12"/>
        <v>15.558480000000003</v>
      </c>
      <c r="F42" s="38">
        <f t="shared" si="12"/>
        <v>48.134047499999994</v>
      </c>
      <c r="G42" s="38">
        <f t="shared" si="12"/>
        <v>108.90936000000002</v>
      </c>
      <c r="H42" s="38">
        <f t="shared" si="12"/>
        <v>196.83324769500004</v>
      </c>
      <c r="I42" s="38">
        <f t="shared" si="12"/>
        <v>358.93121638500008</v>
      </c>
      <c r="J42" s="38">
        <f t="shared" si="12"/>
        <v>535.23285876998455</v>
      </c>
      <c r="K42" s="38">
        <f t="shared" si="12"/>
        <v>710.59697024478771</v>
      </c>
      <c r="L42" s="38">
        <f t="shared" si="12"/>
        <v>785.35990933912387</v>
      </c>
    </row>
    <row r="44" spans="1:13" x14ac:dyDescent="0.35">
      <c r="A44" s="35" t="s">
        <v>138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</row>
    <row r="45" spans="1:13" x14ac:dyDescent="0.35">
      <c r="A45" s="9" t="s">
        <v>139</v>
      </c>
      <c r="C45" s="42">
        <f t="shared" ref="C45:L45" si="13">C11/C46</f>
        <v>0.48</v>
      </c>
      <c r="D45" s="42">
        <f t="shared" si="13"/>
        <v>4.59375</v>
      </c>
      <c r="E45" s="42">
        <f t="shared" si="13"/>
        <v>18.521999999999998</v>
      </c>
      <c r="F45" s="42">
        <f t="shared" si="13"/>
        <v>48.620249999999999</v>
      </c>
      <c r="G45" s="42">
        <f t="shared" si="13"/>
        <v>90.757800000000017</v>
      </c>
      <c r="H45" s="42">
        <f t="shared" si="13"/>
        <v>142.94353500000003</v>
      </c>
      <c r="I45" s="42">
        <f t="shared" si="13"/>
        <v>226.59799014204549</v>
      </c>
      <c r="J45" s="42">
        <f t="shared" si="13"/>
        <v>287.45051491406258</v>
      </c>
      <c r="K45" s="42">
        <f t="shared" si="13"/>
        <v>338.37950964037509</v>
      </c>
      <c r="L45" s="42">
        <f t="shared" si="13"/>
        <v>373.98090920910658</v>
      </c>
    </row>
    <row r="46" spans="1:13" x14ac:dyDescent="0.35">
      <c r="A46" s="9" t="s">
        <v>140</v>
      </c>
      <c r="C46" s="41">
        <v>5000</v>
      </c>
      <c r="D46" s="41">
        <v>8000</v>
      </c>
      <c r="E46" s="41">
        <v>10000</v>
      </c>
      <c r="F46" s="41">
        <v>12000</v>
      </c>
      <c r="G46" s="41">
        <v>15000</v>
      </c>
      <c r="H46" s="41">
        <v>18000</v>
      </c>
      <c r="I46" s="41">
        <v>22000</v>
      </c>
      <c r="J46" s="41">
        <v>28000</v>
      </c>
      <c r="K46" s="41">
        <v>35000</v>
      </c>
      <c r="L46" s="41">
        <v>42000</v>
      </c>
      <c r="M46" s="11" t="s">
        <v>141</v>
      </c>
    </row>
    <row r="47" spans="1:13" x14ac:dyDescent="0.35">
      <c r="A47" s="9" t="s">
        <v>142</v>
      </c>
      <c r="C47" s="43">
        <v>0.1</v>
      </c>
      <c r="D47" s="43">
        <v>0.09</v>
      </c>
      <c r="E47" s="43">
        <v>0.08</v>
      </c>
      <c r="F47" s="43">
        <v>7.0000000000000007E-2</v>
      </c>
      <c r="G47" s="43">
        <v>0.06</v>
      </c>
      <c r="H47" s="43">
        <v>0.05</v>
      </c>
      <c r="I47" s="43">
        <v>0.05</v>
      </c>
      <c r="J47" s="43">
        <v>0.04</v>
      </c>
      <c r="K47" s="43">
        <v>0.04</v>
      </c>
      <c r="L47" s="43">
        <v>0.03</v>
      </c>
      <c r="M47" s="11" t="s">
        <v>143</v>
      </c>
    </row>
    <row r="48" spans="1:13" x14ac:dyDescent="0.35">
      <c r="A48" s="20" t="s">
        <v>144</v>
      </c>
      <c r="C48" s="38">
        <f t="shared" ref="C48:L48" si="14">C45*C47</f>
        <v>4.8000000000000001E-2</v>
      </c>
      <c r="D48" s="38">
        <f t="shared" si="14"/>
        <v>0.41343749999999996</v>
      </c>
      <c r="E48" s="38">
        <f t="shared" si="14"/>
        <v>1.48176</v>
      </c>
      <c r="F48" s="38">
        <f t="shared" si="14"/>
        <v>3.4034175000000002</v>
      </c>
      <c r="G48" s="38">
        <f t="shared" si="14"/>
        <v>5.4454680000000009</v>
      </c>
      <c r="H48" s="38">
        <f t="shared" si="14"/>
        <v>7.1471767500000016</v>
      </c>
      <c r="I48" s="38">
        <f t="shared" si="14"/>
        <v>11.329899507102276</v>
      </c>
      <c r="J48" s="38">
        <f t="shared" si="14"/>
        <v>11.498020596562503</v>
      </c>
      <c r="K48" s="38">
        <f t="shared" si="14"/>
        <v>13.535180385615003</v>
      </c>
      <c r="L48" s="38">
        <f t="shared" si="14"/>
        <v>11.219427276273198</v>
      </c>
    </row>
    <row r="50" spans="1:13" x14ac:dyDescent="0.35">
      <c r="A50" s="44" t="s">
        <v>145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</row>
    <row r="51" spans="1:13" x14ac:dyDescent="0.35">
      <c r="A51" s="9" t="s">
        <v>146</v>
      </c>
      <c r="C51" s="34">
        <f t="shared" ref="C51:L51" si="15">C13</f>
        <v>1.92</v>
      </c>
      <c r="D51" s="34">
        <f t="shared" si="15"/>
        <v>25.725000000000001</v>
      </c>
      <c r="E51" s="34">
        <f t="shared" si="15"/>
        <v>111.13200000000001</v>
      </c>
      <c r="F51" s="34">
        <f t="shared" si="15"/>
        <v>320.89364999999998</v>
      </c>
      <c r="G51" s="34">
        <f t="shared" si="15"/>
        <v>680.68350000000009</v>
      </c>
      <c r="H51" s="34">
        <f t="shared" si="15"/>
        <v>1157.8426335000001</v>
      </c>
      <c r="I51" s="34">
        <f t="shared" si="15"/>
        <v>1994.0623132500004</v>
      </c>
      <c r="J51" s="34">
        <f t="shared" si="15"/>
        <v>2817.0150461578132</v>
      </c>
      <c r="K51" s="34">
        <f t="shared" si="15"/>
        <v>3552.9848512239382</v>
      </c>
      <c r="L51" s="34">
        <f t="shared" si="15"/>
        <v>3926.799546695619</v>
      </c>
    </row>
    <row r="52" spans="1:13" x14ac:dyDescent="0.35">
      <c r="A52" s="9" t="s">
        <v>147</v>
      </c>
      <c r="C52" s="34">
        <f t="shared" ref="C52:L52" si="16">C23</f>
        <v>3.9375E-2</v>
      </c>
      <c r="D52" s="34">
        <f t="shared" si="16"/>
        <v>0.78586199999999995</v>
      </c>
      <c r="E52" s="34">
        <f t="shared" si="16"/>
        <v>4.07484</v>
      </c>
      <c r="F52" s="34">
        <f t="shared" si="16"/>
        <v>13.302500400000001</v>
      </c>
      <c r="G52" s="34">
        <f t="shared" si="16"/>
        <v>31.519049467500011</v>
      </c>
      <c r="H52" s="34">
        <f t="shared" si="16"/>
        <v>51.459672600000005</v>
      </c>
      <c r="I52" s="34">
        <f t="shared" si="16"/>
        <v>91.886391394560022</v>
      </c>
      <c r="J52" s="34">
        <f t="shared" si="16"/>
        <v>132.17434596572463</v>
      </c>
      <c r="K52" s="34">
        <f t="shared" si="16"/>
        <v>172.74612346650792</v>
      </c>
      <c r="L52" s="34">
        <f t="shared" si="16"/>
        <v>219.90077461495468</v>
      </c>
    </row>
    <row r="53" spans="1:13" x14ac:dyDescent="0.35">
      <c r="A53" s="9" t="s">
        <v>148</v>
      </c>
      <c r="C53" s="34">
        <f t="shared" ref="C53:L53" si="17">C29</f>
        <v>1.08</v>
      </c>
      <c r="D53" s="34">
        <f t="shared" si="17"/>
        <v>14.14875</v>
      </c>
      <c r="E53" s="34">
        <f t="shared" si="17"/>
        <v>61.74</v>
      </c>
      <c r="F53" s="34">
        <f t="shared" si="17"/>
        <v>168.78172499999999</v>
      </c>
      <c r="G53" s="34">
        <f t="shared" si="17"/>
        <v>340.34175000000005</v>
      </c>
      <c r="H53" s="34">
        <f t="shared" si="17"/>
        <v>550.33260975000007</v>
      </c>
      <c r="I53" s="34">
        <f t="shared" si="17"/>
        <v>939.70186511906252</v>
      </c>
      <c r="J53" s="34">
        <f t="shared" si="17"/>
        <v>1317.04599560625</v>
      </c>
      <c r="K53" s="34">
        <f t="shared" si="17"/>
        <v>1682.7331031491153</v>
      </c>
      <c r="L53" s="34">
        <f t="shared" si="17"/>
        <v>2041.9357642817217</v>
      </c>
    </row>
    <row r="54" spans="1:13" x14ac:dyDescent="0.35">
      <c r="A54" s="9" t="s">
        <v>149</v>
      </c>
      <c r="C54" s="34">
        <f t="shared" ref="C54:L54" si="18">C38</f>
        <v>1.56</v>
      </c>
      <c r="D54" s="34">
        <f t="shared" si="18"/>
        <v>7.8449999999999998</v>
      </c>
      <c r="E54" s="34">
        <f t="shared" si="18"/>
        <v>17.759999999999998</v>
      </c>
      <c r="F54" s="34">
        <f t="shared" si="18"/>
        <v>36.285000000000004</v>
      </c>
      <c r="G54" s="34">
        <f t="shared" si="18"/>
        <v>52.334999999999994</v>
      </c>
      <c r="H54" s="34">
        <f t="shared" si="18"/>
        <v>66.487499999999997</v>
      </c>
      <c r="I54" s="34">
        <f t="shared" si="18"/>
        <v>78.66</v>
      </c>
      <c r="J54" s="34">
        <f t="shared" si="18"/>
        <v>86.35</v>
      </c>
      <c r="K54" s="34">
        <f t="shared" si="18"/>
        <v>92.97</v>
      </c>
      <c r="L54" s="34">
        <f t="shared" si="18"/>
        <v>87.174999999999997</v>
      </c>
    </row>
    <row r="55" spans="1:13" x14ac:dyDescent="0.35">
      <c r="A55" s="9" t="s">
        <v>150</v>
      </c>
      <c r="C55" s="34">
        <f t="shared" ref="C55:L55" si="19">C42</f>
        <v>0.192</v>
      </c>
      <c r="D55" s="34">
        <f t="shared" si="19"/>
        <v>3.0870000000000002</v>
      </c>
      <c r="E55" s="34">
        <f t="shared" si="19"/>
        <v>15.558480000000003</v>
      </c>
      <c r="F55" s="34">
        <f t="shared" si="19"/>
        <v>48.134047499999994</v>
      </c>
      <c r="G55" s="34">
        <f t="shared" si="19"/>
        <v>108.90936000000002</v>
      </c>
      <c r="H55" s="34">
        <f t="shared" si="19"/>
        <v>196.83324769500004</v>
      </c>
      <c r="I55" s="34">
        <f t="shared" si="19"/>
        <v>358.93121638500008</v>
      </c>
      <c r="J55" s="34">
        <f t="shared" si="19"/>
        <v>535.23285876998455</v>
      </c>
      <c r="K55" s="34">
        <f t="shared" si="19"/>
        <v>710.59697024478771</v>
      </c>
      <c r="L55" s="34">
        <f t="shared" si="19"/>
        <v>785.35990933912387</v>
      </c>
    </row>
    <row r="56" spans="1:13" x14ac:dyDescent="0.35">
      <c r="A56" s="9" t="s">
        <v>151</v>
      </c>
      <c r="C56" s="34">
        <f t="shared" ref="C56:L56" si="20">C48</f>
        <v>4.8000000000000001E-2</v>
      </c>
      <c r="D56" s="34">
        <f t="shared" si="20"/>
        <v>0.41343749999999996</v>
      </c>
      <c r="E56" s="34">
        <f t="shared" si="20"/>
        <v>1.48176</v>
      </c>
      <c r="F56" s="34">
        <f t="shared" si="20"/>
        <v>3.4034175000000002</v>
      </c>
      <c r="G56" s="34">
        <f t="shared" si="20"/>
        <v>5.4454680000000009</v>
      </c>
      <c r="H56" s="34">
        <f t="shared" si="20"/>
        <v>7.1471767500000016</v>
      </c>
      <c r="I56" s="34">
        <f t="shared" si="20"/>
        <v>11.329899507102276</v>
      </c>
      <c r="J56" s="34">
        <f t="shared" si="20"/>
        <v>11.498020596562503</v>
      </c>
      <c r="K56" s="34">
        <f t="shared" si="20"/>
        <v>13.535180385615003</v>
      </c>
      <c r="L56" s="34">
        <f t="shared" si="20"/>
        <v>11.219427276273198</v>
      </c>
    </row>
    <row r="57" spans="1:13" ht="15.5" x14ac:dyDescent="0.35">
      <c r="A57" s="46" t="s">
        <v>152</v>
      </c>
      <c r="C57" s="47">
        <f t="shared" ref="C57:L57" si="21">SUM(C51:C56)</f>
        <v>4.8393750000000004</v>
      </c>
      <c r="D57" s="47">
        <f t="shared" si="21"/>
        <v>52.005049500000005</v>
      </c>
      <c r="E57" s="47">
        <f t="shared" si="21"/>
        <v>211.74708000000001</v>
      </c>
      <c r="F57" s="47">
        <f t="shared" si="21"/>
        <v>590.80034039999998</v>
      </c>
      <c r="G57" s="47">
        <f t="shared" si="21"/>
        <v>1219.2341274675002</v>
      </c>
      <c r="H57" s="47">
        <f t="shared" si="21"/>
        <v>2030.1028402950001</v>
      </c>
      <c r="I57" s="47">
        <f t="shared" si="21"/>
        <v>3474.5716856557251</v>
      </c>
      <c r="J57" s="47">
        <f t="shared" si="21"/>
        <v>4899.3162670963357</v>
      </c>
      <c r="K57" s="47">
        <f t="shared" si="21"/>
        <v>6225.5662284699638</v>
      </c>
      <c r="L57" s="47">
        <f t="shared" si="21"/>
        <v>7072.3904222076935</v>
      </c>
    </row>
    <row r="58" spans="1:13" x14ac:dyDescent="0.35">
      <c r="A58" s="9" t="s">
        <v>153</v>
      </c>
      <c r="C58" s="17">
        <f t="shared" ref="C58:L58" si="22">C57/1000</f>
        <v>4.8393750000000008E-3</v>
      </c>
      <c r="D58" s="17">
        <f t="shared" si="22"/>
        <v>5.2005049500000004E-2</v>
      </c>
      <c r="E58" s="17">
        <f t="shared" si="22"/>
        <v>0.21174708</v>
      </c>
      <c r="F58" s="17">
        <f t="shared" si="22"/>
        <v>0.59080034039999996</v>
      </c>
      <c r="G58" s="17">
        <f t="shared" si="22"/>
        <v>1.2192341274675003</v>
      </c>
      <c r="H58" s="17">
        <f t="shared" si="22"/>
        <v>2.0301028402950001</v>
      </c>
      <c r="I58" s="17">
        <f t="shared" si="22"/>
        <v>3.4745716856557252</v>
      </c>
      <c r="J58" s="17">
        <f t="shared" si="22"/>
        <v>4.8993162670963359</v>
      </c>
      <c r="K58" s="17">
        <f t="shared" si="22"/>
        <v>6.2255662284699635</v>
      </c>
      <c r="L58" s="17">
        <f t="shared" si="22"/>
        <v>7.0723904222076932</v>
      </c>
    </row>
    <row r="60" spans="1:13" x14ac:dyDescent="0.35">
      <c r="A60" s="48" t="s">
        <v>154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1:13" x14ac:dyDescent="0.35">
      <c r="A61" s="9" t="s">
        <v>155</v>
      </c>
      <c r="C61" s="18">
        <f t="shared" ref="C61:L61" si="23">IF(C57=0,0,C51/C57)</f>
        <v>0.39674544750096857</v>
      </c>
      <c r="D61" s="18">
        <f t="shared" si="23"/>
        <v>0.49466350378149337</v>
      </c>
      <c r="E61" s="18">
        <f t="shared" si="23"/>
        <v>0.52483368365693639</v>
      </c>
      <c r="F61" s="18">
        <f t="shared" si="23"/>
        <v>0.54315075340467756</v>
      </c>
      <c r="G61" s="18">
        <f t="shared" si="23"/>
        <v>0.55828776825158577</v>
      </c>
      <c r="H61" s="18">
        <f t="shared" si="23"/>
        <v>0.57033693590209977</v>
      </c>
      <c r="I61" s="18">
        <f t="shared" si="23"/>
        <v>0.57390161828642161</v>
      </c>
      <c r="J61" s="18">
        <f t="shared" si="23"/>
        <v>0.57498126117654491</v>
      </c>
      <c r="K61" s="18">
        <f t="shared" si="23"/>
        <v>0.57070870678009689</v>
      </c>
      <c r="L61" s="18">
        <f t="shared" si="23"/>
        <v>0.55522946447713817</v>
      </c>
    </row>
    <row r="62" spans="1:13" x14ac:dyDescent="0.35">
      <c r="A62" s="9" t="s">
        <v>156</v>
      </c>
      <c r="C62" s="18">
        <f t="shared" ref="C62:L62" si="24">IF(C57=0,0,C52/C57)</f>
        <v>8.1363812475784576E-3</v>
      </c>
      <c r="D62" s="18">
        <f t="shared" si="24"/>
        <v>1.5111263378376361E-2</v>
      </c>
      <c r="E62" s="18">
        <f t="shared" si="24"/>
        <v>1.9243901734087666E-2</v>
      </c>
      <c r="F62" s="18">
        <f t="shared" si="24"/>
        <v>2.2516067595684822E-2</v>
      </c>
      <c r="G62" s="18">
        <f t="shared" si="24"/>
        <v>2.5851515108889684E-2</v>
      </c>
      <c r="H62" s="18">
        <f t="shared" si="24"/>
        <v>2.5348308262315544E-2</v>
      </c>
      <c r="I62" s="18">
        <f t="shared" si="24"/>
        <v>2.6445386570638309E-2</v>
      </c>
      <c r="J62" s="18">
        <f t="shared" si="24"/>
        <v>2.6978120774403494E-2</v>
      </c>
      <c r="K62" s="18">
        <f t="shared" si="24"/>
        <v>2.7747857323648317E-2</v>
      </c>
      <c r="L62" s="18">
        <f t="shared" si="24"/>
        <v>3.1092850010719743E-2</v>
      </c>
    </row>
    <row r="63" spans="1:13" x14ac:dyDescent="0.35">
      <c r="A63" s="9" t="s">
        <v>157</v>
      </c>
      <c r="C63" s="18">
        <f t="shared" ref="C63:L63" si="25">IF(C57=0,0,C53/C57)</f>
        <v>0.22316931421929484</v>
      </c>
      <c r="D63" s="18">
        <f t="shared" si="25"/>
        <v>0.27206492707982133</v>
      </c>
      <c r="E63" s="18">
        <f t="shared" si="25"/>
        <v>0.291574268698298</v>
      </c>
      <c r="F63" s="18">
        <f t="shared" si="25"/>
        <v>0.28568318847908369</v>
      </c>
      <c r="G63" s="18">
        <f t="shared" si="25"/>
        <v>0.27914388412579288</v>
      </c>
      <c r="H63" s="18">
        <f t="shared" si="25"/>
        <v>0.27108607447198568</v>
      </c>
      <c r="I63" s="18">
        <f t="shared" si="25"/>
        <v>0.27045113761747613</v>
      </c>
      <c r="J63" s="18">
        <f t="shared" si="25"/>
        <v>0.26882240782280015</v>
      </c>
      <c r="K63" s="18">
        <f t="shared" si="25"/>
        <v>0.27029398473890703</v>
      </c>
      <c r="L63" s="18">
        <f t="shared" si="25"/>
        <v>0.28871932152811186</v>
      </c>
    </row>
    <row r="64" spans="1:13" x14ac:dyDescent="0.35">
      <c r="A64" s="9" t="s">
        <v>158</v>
      </c>
      <c r="C64" s="18">
        <f t="shared" ref="C64:L64" si="26">IF(C57=0,0,C54/C57)</f>
        <v>0.32235567609453697</v>
      </c>
      <c r="D64" s="18">
        <f t="shared" si="26"/>
        <v>0.15085073613861283</v>
      </c>
      <c r="E64" s="18">
        <f t="shared" si="26"/>
        <v>8.3873647749947711E-2</v>
      </c>
      <c r="F64" s="18">
        <f t="shared" si="26"/>
        <v>6.1416687701014744E-2</v>
      </c>
      <c r="G64" s="18">
        <f t="shared" si="26"/>
        <v>4.2924487447465277E-2</v>
      </c>
      <c r="H64" s="18">
        <f t="shared" si="26"/>
        <v>3.2750803890476063E-2</v>
      </c>
      <c r="I64" s="18">
        <f t="shared" si="26"/>
        <v>2.2638761584553461E-2</v>
      </c>
      <c r="J64" s="18">
        <f t="shared" si="26"/>
        <v>1.7624908312191247E-2</v>
      </c>
      <c r="K64" s="18">
        <f t="shared" si="26"/>
        <v>1.4933581394547131E-2</v>
      </c>
      <c r="L64" s="18">
        <f t="shared" si="26"/>
        <v>1.2326101190096311E-2</v>
      </c>
    </row>
    <row r="65" spans="1:13" x14ac:dyDescent="0.35">
      <c r="A65" s="9" t="s">
        <v>159</v>
      </c>
      <c r="C65" s="18">
        <f t="shared" ref="C65:L65" si="27">IF(C57=0,0,C55/C57)</f>
        <v>3.9674544750096859E-2</v>
      </c>
      <c r="D65" s="18">
        <f t="shared" si="27"/>
        <v>5.9359620453779204E-2</v>
      </c>
      <c r="E65" s="18">
        <f t="shared" si="27"/>
        <v>7.3476715711971105E-2</v>
      </c>
      <c r="F65" s="18">
        <f t="shared" si="27"/>
        <v>8.1472613010701633E-2</v>
      </c>
      <c r="G65" s="18">
        <f t="shared" si="27"/>
        <v>8.9326042920253715E-2</v>
      </c>
      <c r="H65" s="18">
        <f t="shared" si="27"/>
        <v>9.6957279103356969E-2</v>
      </c>
      <c r="I65" s="18">
        <f t="shared" si="27"/>
        <v>0.10330229129155589</v>
      </c>
      <c r="J65" s="18">
        <f t="shared" si="27"/>
        <v>0.10924643962354354</v>
      </c>
      <c r="K65" s="18">
        <f t="shared" si="27"/>
        <v>0.11414174135601939</v>
      </c>
      <c r="L65" s="18">
        <f t="shared" si="27"/>
        <v>0.11104589289542766</v>
      </c>
    </row>
    <row r="66" spans="1:13" x14ac:dyDescent="0.35">
      <c r="A66" s="9" t="s">
        <v>160</v>
      </c>
      <c r="C66" s="18">
        <f t="shared" ref="C66:L66" si="28">IF(C57=0,0,C56/C57)</f>
        <v>9.9186361875242147E-3</v>
      </c>
      <c r="D66" s="18">
        <f t="shared" si="28"/>
        <v>7.9499491679168553E-3</v>
      </c>
      <c r="E66" s="18">
        <f t="shared" si="28"/>
        <v>6.9977824487591515E-3</v>
      </c>
      <c r="F66" s="18">
        <f t="shared" si="28"/>
        <v>5.7606898088374903E-3</v>
      </c>
      <c r="G66" s="18">
        <f t="shared" si="28"/>
        <v>4.4663021460126856E-3</v>
      </c>
      <c r="H66" s="18">
        <f t="shared" si="28"/>
        <v>3.5205983697660483E-3</v>
      </c>
      <c r="I66" s="18">
        <f t="shared" si="28"/>
        <v>3.2608046493546685E-3</v>
      </c>
      <c r="J66" s="18">
        <f t="shared" si="28"/>
        <v>2.3468622905165096E-3</v>
      </c>
      <c r="K66" s="18">
        <f t="shared" si="28"/>
        <v>2.1741284067813217E-3</v>
      </c>
      <c r="L66" s="18">
        <f t="shared" si="28"/>
        <v>1.5863698985061092E-3</v>
      </c>
    </row>
    <row r="67" spans="1:13" x14ac:dyDescent="0.35">
      <c r="A67" s="49" t="s">
        <v>161</v>
      </c>
      <c r="C67" s="50">
        <f t="shared" ref="C67:L67" si="29">SUM(C61:C66)</f>
        <v>1</v>
      </c>
      <c r="D67" s="50">
        <f t="shared" si="29"/>
        <v>0.99999999999999989</v>
      </c>
      <c r="E67" s="50">
        <f t="shared" si="29"/>
        <v>1.0000000000000002</v>
      </c>
      <c r="F67" s="50">
        <f t="shared" si="29"/>
        <v>0.99999999999999989</v>
      </c>
      <c r="G67" s="50">
        <f t="shared" si="29"/>
        <v>1</v>
      </c>
      <c r="H67" s="50">
        <f t="shared" si="29"/>
        <v>1</v>
      </c>
      <c r="I67" s="50">
        <f t="shared" si="29"/>
        <v>1.0000000000000002</v>
      </c>
      <c r="J67" s="50">
        <f t="shared" si="29"/>
        <v>0.99999999999999989</v>
      </c>
      <c r="K67" s="50">
        <f t="shared" si="29"/>
        <v>1</v>
      </c>
      <c r="L67" s="50">
        <f t="shared" si="29"/>
        <v>0.99999999999999989</v>
      </c>
    </row>
    <row r="69" spans="1:13" x14ac:dyDescent="0.35">
      <c r="A69" s="48" t="s">
        <v>162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</row>
    <row r="70" spans="1:13" x14ac:dyDescent="0.35">
      <c r="A70" s="9" t="s">
        <v>155</v>
      </c>
      <c r="C70" s="51">
        <f t="shared" ref="C70:L70" si="30">IF(C7=0,0,C51/C7*10000)</f>
        <v>6.3999999999999995</v>
      </c>
      <c r="D70" s="51">
        <f t="shared" si="30"/>
        <v>7</v>
      </c>
      <c r="E70" s="51">
        <f t="shared" si="30"/>
        <v>7.2</v>
      </c>
      <c r="F70" s="51">
        <f t="shared" si="30"/>
        <v>7.6999999999999993</v>
      </c>
      <c r="G70" s="51">
        <f t="shared" si="30"/>
        <v>8</v>
      </c>
      <c r="H70" s="51">
        <f t="shared" si="30"/>
        <v>8.1000000000000014</v>
      </c>
      <c r="I70" s="51">
        <f t="shared" si="30"/>
        <v>8</v>
      </c>
      <c r="J70" s="51">
        <f t="shared" si="30"/>
        <v>7.7000000000000011</v>
      </c>
      <c r="K70" s="51">
        <f t="shared" si="30"/>
        <v>7.1999999999999993</v>
      </c>
      <c r="L70" s="51">
        <f t="shared" si="30"/>
        <v>6.25</v>
      </c>
    </row>
    <row r="71" spans="1:13" x14ac:dyDescent="0.35">
      <c r="A71" s="9" t="s">
        <v>156</v>
      </c>
      <c r="C71" s="51">
        <f t="shared" ref="C71:L71" si="31">IF(C7=0,0,C52/C7*10000)</f>
        <v>0.13125000000000001</v>
      </c>
      <c r="D71" s="51">
        <f t="shared" si="31"/>
        <v>0.21383999999999997</v>
      </c>
      <c r="E71" s="51">
        <f t="shared" si="31"/>
        <v>0.26400000000000001</v>
      </c>
      <c r="F71" s="51">
        <f t="shared" si="31"/>
        <v>0.31920000000000004</v>
      </c>
      <c r="G71" s="51">
        <f t="shared" si="31"/>
        <v>0.37044000000000005</v>
      </c>
      <c r="H71" s="51">
        <f t="shared" si="31"/>
        <v>0.36</v>
      </c>
      <c r="I71" s="51">
        <f t="shared" si="31"/>
        <v>0.36863999999999997</v>
      </c>
      <c r="J71" s="51">
        <f t="shared" si="31"/>
        <v>0.36128400000000011</v>
      </c>
      <c r="K71" s="51">
        <f t="shared" si="31"/>
        <v>0.35006400000000004</v>
      </c>
      <c r="L71" s="51">
        <f t="shared" si="31"/>
        <v>0.35000000000000003</v>
      </c>
    </row>
    <row r="72" spans="1:13" x14ac:dyDescent="0.35">
      <c r="A72" s="9" t="s">
        <v>157</v>
      </c>
      <c r="C72" s="51">
        <f t="shared" ref="C72:L72" si="32">IF(C7=0,0,C53/C7*10000)</f>
        <v>3.6</v>
      </c>
      <c r="D72" s="51">
        <f t="shared" si="32"/>
        <v>3.8499999999999996</v>
      </c>
      <c r="E72" s="51">
        <f t="shared" si="32"/>
        <v>4</v>
      </c>
      <c r="F72" s="51">
        <f t="shared" si="32"/>
        <v>4.05</v>
      </c>
      <c r="G72" s="51">
        <f t="shared" si="32"/>
        <v>4</v>
      </c>
      <c r="H72" s="51">
        <f t="shared" si="32"/>
        <v>3.8500000000000005</v>
      </c>
      <c r="I72" s="51">
        <f t="shared" si="32"/>
        <v>3.7699999999999996</v>
      </c>
      <c r="J72" s="51">
        <f t="shared" si="32"/>
        <v>3.5999999999999992</v>
      </c>
      <c r="K72" s="51">
        <f t="shared" si="32"/>
        <v>3.41</v>
      </c>
      <c r="L72" s="51">
        <f t="shared" si="32"/>
        <v>3.25</v>
      </c>
    </row>
    <row r="73" spans="1:13" x14ac:dyDescent="0.35">
      <c r="A73" s="9" t="s">
        <v>158</v>
      </c>
      <c r="C73" s="51">
        <f t="shared" ref="C73:L73" si="33">IF(C7=0,0,C54/C7*10000)</f>
        <v>5.2000000000000011</v>
      </c>
      <c r="D73" s="51">
        <f t="shared" si="33"/>
        <v>2.1346938775510202</v>
      </c>
      <c r="E73" s="51">
        <f t="shared" si="33"/>
        <v>1.1506316812439261</v>
      </c>
      <c r="F73" s="51">
        <f t="shared" si="33"/>
        <v>0.8706763128531837</v>
      </c>
      <c r="G73" s="51">
        <f t="shared" si="33"/>
        <v>0.61508762883190193</v>
      </c>
      <c r="H73" s="51">
        <f t="shared" si="33"/>
        <v>0.46513121422385412</v>
      </c>
      <c r="I73" s="51">
        <f t="shared" si="33"/>
        <v>0.31557689838407049</v>
      </c>
      <c r="J73" s="51">
        <f t="shared" si="33"/>
        <v>0.23602820329513841</v>
      </c>
      <c r="K73" s="51">
        <f t="shared" si="33"/>
        <v>0.18840046553235637</v>
      </c>
      <c r="L73" s="51">
        <f t="shared" si="33"/>
        <v>0.1387500796821888</v>
      </c>
    </row>
    <row r="74" spans="1:13" x14ac:dyDescent="0.35">
      <c r="A74" s="9" t="s">
        <v>159</v>
      </c>
      <c r="C74" s="51">
        <f t="shared" ref="C74:L74" si="34">IF(C7=0,0,C55/C7*10000)</f>
        <v>0.64</v>
      </c>
      <c r="D74" s="51">
        <f t="shared" si="34"/>
        <v>0.84000000000000008</v>
      </c>
      <c r="E74" s="51">
        <f t="shared" si="34"/>
        <v>1.0080000000000002</v>
      </c>
      <c r="F74" s="51">
        <f t="shared" si="34"/>
        <v>1.1549999999999998</v>
      </c>
      <c r="G74" s="51">
        <f t="shared" si="34"/>
        <v>1.28</v>
      </c>
      <c r="H74" s="51">
        <f t="shared" si="34"/>
        <v>1.3770000000000002</v>
      </c>
      <c r="I74" s="51">
        <f t="shared" si="34"/>
        <v>1.44</v>
      </c>
      <c r="J74" s="51">
        <f t="shared" si="34"/>
        <v>1.4630000000000003</v>
      </c>
      <c r="K74" s="51">
        <f t="shared" si="34"/>
        <v>1.44</v>
      </c>
      <c r="L74" s="51">
        <f t="shared" si="34"/>
        <v>1.2500000000000002</v>
      </c>
    </row>
    <row r="75" spans="1:13" x14ac:dyDescent="0.35">
      <c r="A75" s="9" t="s">
        <v>160</v>
      </c>
      <c r="C75" s="51">
        <f t="shared" ref="C75:L75" si="35">IF(C7=0,0,C56/C7*10000)</f>
        <v>0.16</v>
      </c>
      <c r="D75" s="51">
        <f t="shared" si="35"/>
        <v>0.11249999999999999</v>
      </c>
      <c r="E75" s="51">
        <f t="shared" si="35"/>
        <v>9.6000000000000002E-2</v>
      </c>
      <c r="F75" s="51">
        <f t="shared" si="35"/>
        <v>8.1666666666666679E-2</v>
      </c>
      <c r="G75" s="51">
        <f t="shared" si="35"/>
        <v>6.4000000000000001E-2</v>
      </c>
      <c r="H75" s="51">
        <f t="shared" si="35"/>
        <v>0.05</v>
      </c>
      <c r="I75" s="51">
        <f t="shared" si="35"/>
        <v>4.5454545454545456E-2</v>
      </c>
      <c r="J75" s="51">
        <f t="shared" si="35"/>
        <v>3.1428571428571431E-2</v>
      </c>
      <c r="K75" s="51">
        <f t="shared" si="35"/>
        <v>2.7428571428571431E-2</v>
      </c>
      <c r="L75" s="51">
        <f t="shared" si="35"/>
        <v>1.785714285714286E-2</v>
      </c>
    </row>
    <row r="76" spans="1:13" x14ac:dyDescent="0.35">
      <c r="A76" s="20" t="s">
        <v>163</v>
      </c>
      <c r="C76" s="52">
        <f t="shared" ref="C76:L76" si="36">SUM(C70:C75)</f>
        <v>16.131250000000001</v>
      </c>
      <c r="D76" s="52">
        <f t="shared" si="36"/>
        <v>14.15103387755102</v>
      </c>
      <c r="E76" s="52">
        <f t="shared" si="36"/>
        <v>13.718631681243927</v>
      </c>
      <c r="F76" s="52">
        <f t="shared" si="36"/>
        <v>14.176542979519848</v>
      </c>
      <c r="G76" s="52">
        <f t="shared" si="36"/>
        <v>14.329527628831901</v>
      </c>
      <c r="H76" s="52">
        <f t="shared" si="36"/>
        <v>14.202131214223858</v>
      </c>
      <c r="I76" s="52">
        <f t="shared" si="36"/>
        <v>13.939671443838614</v>
      </c>
      <c r="J76" s="52">
        <f t="shared" si="36"/>
        <v>13.391740774723711</v>
      </c>
      <c r="K76" s="52">
        <f t="shared" si="36"/>
        <v>12.615893036960927</v>
      </c>
      <c r="L76" s="52">
        <f t="shared" si="36"/>
        <v>11.256607222539332</v>
      </c>
    </row>
    <row r="78" spans="1:13" x14ac:dyDescent="0.35">
      <c r="A78" s="48" t="s">
        <v>164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</row>
    <row r="79" spans="1:13" x14ac:dyDescent="0.35">
      <c r="A79" s="9" t="s">
        <v>155</v>
      </c>
      <c r="C79" s="3" t="s">
        <v>165</v>
      </c>
      <c r="D79" s="3"/>
      <c r="E79" s="3"/>
      <c r="F79" s="3"/>
      <c r="G79" s="3"/>
      <c r="H79" s="3"/>
      <c r="I79" s="3"/>
      <c r="J79" s="3"/>
      <c r="K79" s="3"/>
      <c r="L79" s="3"/>
    </row>
    <row r="80" spans="1:13" x14ac:dyDescent="0.35">
      <c r="A80" s="9" t="s">
        <v>156</v>
      </c>
      <c r="C80" s="3" t="s">
        <v>166</v>
      </c>
      <c r="D80" s="3"/>
      <c r="E80" s="3"/>
      <c r="F80" s="3"/>
      <c r="G80" s="3"/>
      <c r="H80" s="3"/>
      <c r="I80" s="3"/>
      <c r="J80" s="3"/>
      <c r="K80" s="3"/>
      <c r="L80" s="3"/>
    </row>
    <row r="81" spans="1:13" x14ac:dyDescent="0.35">
      <c r="A81" s="9" t="s">
        <v>167</v>
      </c>
      <c r="C81" s="3" t="s">
        <v>168</v>
      </c>
      <c r="D81" s="3"/>
      <c r="E81" s="3"/>
      <c r="F81" s="3"/>
      <c r="G81" s="3"/>
      <c r="H81" s="3"/>
      <c r="I81" s="3"/>
      <c r="J81" s="3"/>
      <c r="K81" s="3"/>
      <c r="L81" s="3"/>
    </row>
    <row r="82" spans="1:13" x14ac:dyDescent="0.35">
      <c r="A82" s="9" t="s">
        <v>169</v>
      </c>
      <c r="C82" s="3" t="s">
        <v>170</v>
      </c>
      <c r="D82" s="3"/>
      <c r="E82" s="3"/>
      <c r="F82" s="3"/>
      <c r="G82" s="3"/>
      <c r="H82" s="3"/>
      <c r="I82" s="3"/>
      <c r="J82" s="3"/>
      <c r="K82" s="3"/>
      <c r="L82" s="3"/>
    </row>
    <row r="83" spans="1:13" x14ac:dyDescent="0.35">
      <c r="A83" s="9" t="s">
        <v>171</v>
      </c>
      <c r="C83" s="3" t="s">
        <v>172</v>
      </c>
      <c r="D83" s="3"/>
      <c r="E83" s="3"/>
      <c r="F83" s="3"/>
      <c r="G83" s="3"/>
      <c r="H83" s="3"/>
      <c r="I83" s="3"/>
      <c r="J83" s="3"/>
      <c r="K83" s="3"/>
      <c r="L83" s="3"/>
    </row>
    <row r="84" spans="1:13" x14ac:dyDescent="0.35">
      <c r="A84" s="9" t="s">
        <v>160</v>
      </c>
      <c r="C84" s="3" t="s">
        <v>173</v>
      </c>
      <c r="D84" s="3"/>
      <c r="E84" s="3"/>
      <c r="F84" s="3"/>
      <c r="G84" s="3"/>
      <c r="H84" s="3"/>
      <c r="I84" s="3"/>
      <c r="J84" s="3"/>
      <c r="K84" s="3"/>
      <c r="L84" s="3"/>
    </row>
    <row r="86" spans="1:13" x14ac:dyDescent="0.35">
      <c r="A86" s="53" t="s">
        <v>174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</row>
    <row r="87" spans="1:13" x14ac:dyDescent="0.35">
      <c r="A87" s="9" t="s">
        <v>175</v>
      </c>
      <c r="C87" s="11" t="s">
        <v>176</v>
      </c>
      <c r="E87" s="12" t="s">
        <v>7</v>
      </c>
    </row>
    <row r="88" spans="1:13" x14ac:dyDescent="0.35">
      <c r="A88" s="9" t="s">
        <v>177</v>
      </c>
      <c r="C88" s="11" t="s">
        <v>178</v>
      </c>
      <c r="E88" s="12" t="s">
        <v>179</v>
      </c>
    </row>
    <row r="89" spans="1:13" x14ac:dyDescent="0.35">
      <c r="A89" s="9" t="s">
        <v>180</v>
      </c>
      <c r="C89" s="11" t="s">
        <v>181</v>
      </c>
      <c r="E89" s="12" t="s">
        <v>182</v>
      </c>
    </row>
    <row r="90" spans="1:13" x14ac:dyDescent="0.35">
      <c r="A90" s="9" t="s">
        <v>183</v>
      </c>
      <c r="C90" s="11" t="s">
        <v>184</v>
      </c>
      <c r="E90" s="12" t="s">
        <v>185</v>
      </c>
    </row>
    <row r="91" spans="1:13" x14ac:dyDescent="0.35">
      <c r="A91" s="9" t="s">
        <v>186</v>
      </c>
      <c r="C91" s="11" t="s">
        <v>187</v>
      </c>
      <c r="E91" s="12" t="s">
        <v>188</v>
      </c>
    </row>
    <row r="92" spans="1:13" x14ac:dyDescent="0.35">
      <c r="A92" s="9" t="s">
        <v>189</v>
      </c>
      <c r="C92" s="11" t="s">
        <v>190</v>
      </c>
      <c r="E92" s="12" t="s">
        <v>191</v>
      </c>
    </row>
    <row r="93" spans="1:13" x14ac:dyDescent="0.35">
      <c r="A93" s="9" t="s">
        <v>192</v>
      </c>
      <c r="C93" s="11" t="s">
        <v>193</v>
      </c>
      <c r="E93" s="12" t="s">
        <v>194</v>
      </c>
    </row>
  </sheetData>
  <mergeCells count="6">
    <mergeCell ref="C84:L84"/>
    <mergeCell ref="C79:L79"/>
    <mergeCell ref="C80:L80"/>
    <mergeCell ref="C81:L81"/>
    <mergeCell ref="C82:L82"/>
    <mergeCell ref="C83:L83"/>
  </mergeCells>
  <hyperlinks>
    <hyperlink ref="E87" r:id="rId1" xr:uid="{00000000-0004-0000-0200-000000000000}"/>
    <hyperlink ref="E88" r:id="rId2" xr:uid="{00000000-0004-0000-0200-000001000000}"/>
    <hyperlink ref="E89" r:id="rId3" xr:uid="{00000000-0004-0000-0200-000002000000}"/>
    <hyperlink ref="E90" r:id="rId4" xr:uid="{00000000-0004-0000-0200-000003000000}"/>
    <hyperlink ref="E91" r:id="rId5" xr:uid="{00000000-0004-0000-0200-000004000000}"/>
    <hyperlink ref="E92" r:id="rId6" xr:uid="{00000000-0004-0000-0200-000005000000}"/>
    <hyperlink ref="E93" r:id="rId7" xr:uid="{00000000-0004-0000-0200-000006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F21"/>
  <sheetViews>
    <sheetView zoomScaleNormal="100" workbookViewId="0"/>
  </sheetViews>
  <sheetFormatPr defaultColWidth="8.6328125" defaultRowHeight="14.5" x14ac:dyDescent="0.35"/>
  <cols>
    <col min="1" max="1" width="38" customWidth="1"/>
    <col min="2" max="5" width="18" customWidth="1"/>
    <col min="6" max="6" width="55" customWidth="1"/>
  </cols>
  <sheetData>
    <row r="1" spans="1:6" ht="15.75" customHeight="1" x14ac:dyDescent="0.35">
      <c r="A1" s="54" t="s">
        <v>195</v>
      </c>
    </row>
    <row r="3" spans="1:6" ht="15" customHeight="1" x14ac:dyDescent="0.35">
      <c r="A3" s="7" t="s">
        <v>196</v>
      </c>
      <c r="B3" s="8"/>
      <c r="C3" s="8"/>
      <c r="D3" s="8"/>
      <c r="E3" s="8"/>
    </row>
    <row r="4" spans="1:6" ht="15" customHeight="1" x14ac:dyDescent="0.35">
      <c r="A4" s="14"/>
      <c r="B4" s="14" t="s">
        <v>197</v>
      </c>
      <c r="C4" s="14" t="s">
        <v>198</v>
      </c>
      <c r="D4" s="14" t="s">
        <v>199</v>
      </c>
    </row>
    <row r="5" spans="1:6" ht="15" customHeight="1" x14ac:dyDescent="0.35">
      <c r="A5" s="9" t="s">
        <v>200</v>
      </c>
      <c r="B5" s="22">
        <v>0.08</v>
      </c>
      <c r="C5" s="22">
        <v>0.2</v>
      </c>
      <c r="D5" s="22">
        <v>0.35</v>
      </c>
      <c r="F5" s="11" t="s">
        <v>201</v>
      </c>
    </row>
    <row r="6" spans="1:6" ht="15" customHeight="1" x14ac:dyDescent="0.35">
      <c r="A6" s="9" t="s">
        <v>202</v>
      </c>
      <c r="B6" s="22">
        <v>0.04</v>
      </c>
      <c r="C6" s="22">
        <v>0.12</v>
      </c>
      <c r="D6" s="22">
        <v>0.25</v>
      </c>
    </row>
    <row r="7" spans="1:6" ht="15" customHeight="1" x14ac:dyDescent="0.35">
      <c r="A7" s="9" t="s">
        <v>203</v>
      </c>
      <c r="B7" s="22">
        <v>0.01</v>
      </c>
      <c r="C7" s="22">
        <v>0.05</v>
      </c>
      <c r="D7" s="22">
        <v>0.12</v>
      </c>
    </row>
    <row r="9" spans="1:6" ht="15" customHeight="1" x14ac:dyDescent="0.35">
      <c r="A9" s="7" t="s">
        <v>204</v>
      </c>
      <c r="B9" s="8"/>
      <c r="C9" s="8"/>
      <c r="D9" s="8"/>
      <c r="E9" s="8"/>
    </row>
    <row r="10" spans="1:6" ht="15" customHeight="1" x14ac:dyDescent="0.35">
      <c r="A10" s="9" t="s">
        <v>205</v>
      </c>
      <c r="B10" s="17">
        <f>Assumptions!B13*(1+Assumptions!B33)^9</f>
        <v>4653.9846479355474</v>
      </c>
    </row>
    <row r="11" spans="1:6" ht="15" customHeight="1" x14ac:dyDescent="0.35">
      <c r="A11" s="9" t="s">
        <v>206</v>
      </c>
      <c r="B11" s="17">
        <f>Assumptions!C13*(1+Assumptions!B33)^9</f>
        <v>15513.282159785158</v>
      </c>
    </row>
    <row r="12" spans="1:6" ht="15" customHeight="1" x14ac:dyDescent="0.35">
      <c r="A12" s="9" t="s">
        <v>207</v>
      </c>
      <c r="B12" s="17">
        <f>Assumptions!D13*(1+Assumptions!B33)^9</f>
        <v>69809.769719033211</v>
      </c>
    </row>
    <row r="14" spans="1:6" ht="15" customHeight="1" x14ac:dyDescent="0.35">
      <c r="A14" s="7" t="s">
        <v>208</v>
      </c>
      <c r="B14" s="8"/>
      <c r="C14" s="8"/>
      <c r="D14" s="8"/>
      <c r="E14" s="8"/>
    </row>
    <row r="15" spans="1:6" ht="15" customHeight="1" x14ac:dyDescent="0.35">
      <c r="A15" s="14"/>
      <c r="B15" s="14" t="s">
        <v>197</v>
      </c>
      <c r="C15" s="14" t="s">
        <v>198</v>
      </c>
      <c r="D15" s="14" t="s">
        <v>199</v>
      </c>
    </row>
    <row r="16" spans="1:6" ht="15" customHeight="1" x14ac:dyDescent="0.35">
      <c r="A16" s="9" t="s">
        <v>209</v>
      </c>
      <c r="B16" s="17">
        <f>$B$10*B5</f>
        <v>372.3187718348438</v>
      </c>
      <c r="C16" s="17">
        <f>$B$10*C5</f>
        <v>930.7969295871095</v>
      </c>
      <c r="D16" s="17">
        <f>$B$10*D5</f>
        <v>1628.8946267774415</v>
      </c>
    </row>
    <row r="17" spans="1:4" ht="15" customHeight="1" x14ac:dyDescent="0.35">
      <c r="A17" s="9" t="s">
        <v>210</v>
      </c>
      <c r="B17" s="17">
        <f>$B$11*B6</f>
        <v>620.5312863914063</v>
      </c>
      <c r="C17" s="17">
        <f>$B$11*C6</f>
        <v>1861.5938591742188</v>
      </c>
      <c r="D17" s="17">
        <f>$B$11*D6</f>
        <v>3878.3205399462895</v>
      </c>
    </row>
    <row r="18" spans="1:4" ht="15" customHeight="1" x14ac:dyDescent="0.35">
      <c r="A18" s="9" t="s">
        <v>211</v>
      </c>
      <c r="B18" s="17">
        <f>$B$12*B7</f>
        <v>698.09769719033216</v>
      </c>
      <c r="C18" s="17">
        <f>$B$12*C7</f>
        <v>3490.4884859516606</v>
      </c>
      <c r="D18" s="17">
        <f>$B$12*D7</f>
        <v>8377.172366283985</v>
      </c>
    </row>
    <row r="20" spans="1:4" ht="15" customHeight="1" x14ac:dyDescent="0.35">
      <c r="A20" s="6" t="s">
        <v>93</v>
      </c>
      <c r="B20" s="28">
        <f>SUM(B16:B18)</f>
        <v>1690.9477554165824</v>
      </c>
      <c r="C20" s="28">
        <f>SUM(C16:C18)</f>
        <v>6282.8792747129883</v>
      </c>
      <c r="D20" s="28">
        <f>SUM(D16:D18)</f>
        <v>13884.387533007717</v>
      </c>
    </row>
    <row r="21" spans="1:4" ht="15" customHeight="1" x14ac:dyDescent="0.35">
      <c r="A21" s="9" t="s">
        <v>212</v>
      </c>
      <c r="B21" s="18">
        <f>B20/($B$10+$B$11+$B$12)</f>
        <v>1.8793103448275863E-2</v>
      </c>
      <c r="C21" s="18">
        <f>C20/($B$10+$B$11+$B$12)</f>
        <v>6.9827586206896539E-2</v>
      </c>
      <c r="D21" s="18">
        <f>D20/($B$10+$B$11+$B$12)</f>
        <v>0.15431034482758621</v>
      </c>
    </row>
  </sheetData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A1:M69"/>
  <sheetViews>
    <sheetView zoomScaleNormal="100" workbookViewId="0">
      <pane ySplit="5" topLeftCell="A28" activePane="bottomLeft" state="frozen"/>
      <selection pane="bottomLeft" activeCell="I4" sqref="I4"/>
    </sheetView>
  </sheetViews>
  <sheetFormatPr defaultColWidth="8.6328125" defaultRowHeight="14.5" x14ac:dyDescent="0.35"/>
  <cols>
    <col min="1" max="1" width="8" customWidth="1"/>
    <col min="2" max="3" width="16" customWidth="1"/>
    <col min="4" max="4" width="18" customWidth="1"/>
    <col min="5" max="5" width="14" customWidth="1"/>
    <col min="6" max="6" width="5" customWidth="1"/>
    <col min="7" max="7" width="8" customWidth="1"/>
    <col min="8" max="8" width="18" customWidth="1"/>
    <col min="9" max="9" width="20" customWidth="1"/>
    <col min="10" max="12" width="18" customWidth="1"/>
    <col min="13" max="13" width="14" customWidth="1"/>
  </cols>
  <sheetData>
    <row r="1" spans="1:13" ht="17.25" customHeight="1" x14ac:dyDescent="0.4">
      <c r="A1" s="5" t="s">
        <v>213</v>
      </c>
    </row>
    <row r="2" spans="1:13" ht="15" customHeight="1" x14ac:dyDescent="0.35">
      <c r="A2" s="30" t="s">
        <v>214</v>
      </c>
    </row>
    <row r="4" spans="1:13" ht="15" customHeight="1" x14ac:dyDescent="0.35">
      <c r="A4" s="48" t="s">
        <v>215</v>
      </c>
      <c r="B4" s="8"/>
      <c r="C4" s="8"/>
      <c r="D4" s="8"/>
      <c r="E4" s="8"/>
      <c r="G4" s="48" t="s">
        <v>216</v>
      </c>
      <c r="H4" s="8"/>
      <c r="I4" s="8"/>
      <c r="J4" s="8"/>
      <c r="K4" s="8"/>
      <c r="L4" s="8"/>
      <c r="M4" s="8"/>
    </row>
    <row r="5" spans="1:13" ht="23.25" customHeight="1" x14ac:dyDescent="0.35">
      <c r="A5" s="55" t="s">
        <v>34</v>
      </c>
      <c r="B5" s="55" t="s">
        <v>217</v>
      </c>
      <c r="C5" s="55" t="s">
        <v>218</v>
      </c>
      <c r="D5" s="55" t="s">
        <v>219</v>
      </c>
      <c r="E5" s="55" t="s">
        <v>220</v>
      </c>
      <c r="G5" s="55" t="s">
        <v>34</v>
      </c>
      <c r="H5" s="55" t="s">
        <v>221</v>
      </c>
      <c r="I5" s="55" t="s">
        <v>222</v>
      </c>
      <c r="J5" s="55" t="s">
        <v>223</v>
      </c>
      <c r="K5" s="55" t="s">
        <v>224</v>
      </c>
      <c r="L5" s="55" t="s">
        <v>218</v>
      </c>
      <c r="M5" s="55" t="s">
        <v>225</v>
      </c>
    </row>
    <row r="6" spans="1:13" ht="15" customHeight="1" x14ac:dyDescent="0.35">
      <c r="A6" s="21">
        <v>1993</v>
      </c>
      <c r="B6" s="41">
        <v>0.5</v>
      </c>
      <c r="C6" s="41">
        <v>5137</v>
      </c>
      <c r="D6" s="56">
        <f t="shared" ref="D6:D38" si="0">B6/C6</f>
        <v>9.7333073778469931E-5</v>
      </c>
      <c r="E6" s="10">
        <v>1</v>
      </c>
      <c r="G6" s="21">
        <v>1990</v>
      </c>
      <c r="H6" s="41">
        <v>75</v>
      </c>
      <c r="I6" s="41">
        <v>1325</v>
      </c>
      <c r="J6" s="18">
        <f t="shared" ref="J6:J41" si="1">H6/I6</f>
        <v>5.6603773584905662E-2</v>
      </c>
      <c r="K6" s="41">
        <v>120</v>
      </c>
      <c r="L6" s="41">
        <v>3060</v>
      </c>
      <c r="M6" s="18">
        <f t="shared" ref="M6:M41" si="2">K6/L6</f>
        <v>3.9215686274509803E-2</v>
      </c>
    </row>
    <row r="7" spans="1:13" ht="15" customHeight="1" x14ac:dyDescent="0.35">
      <c r="A7" s="21">
        <v>1994</v>
      </c>
      <c r="B7" s="41">
        <v>0.4</v>
      </c>
      <c r="C7" s="41">
        <v>5068</v>
      </c>
      <c r="D7" s="56">
        <f t="shared" si="0"/>
        <v>7.8926598263614846E-5</v>
      </c>
      <c r="E7" s="10">
        <v>1</v>
      </c>
      <c r="G7" s="21">
        <v>1991</v>
      </c>
      <c r="H7" s="41">
        <v>100</v>
      </c>
      <c r="I7" s="41">
        <v>1520</v>
      </c>
      <c r="J7" s="18">
        <f t="shared" si="1"/>
        <v>6.5789473684210523E-2</v>
      </c>
      <c r="K7" s="41">
        <v>165</v>
      </c>
      <c r="L7" s="41">
        <v>4090</v>
      </c>
      <c r="M7" s="18">
        <f t="shared" si="2"/>
        <v>4.0342298288508556E-2</v>
      </c>
    </row>
    <row r="8" spans="1:13" ht="15" customHeight="1" x14ac:dyDescent="0.35">
      <c r="A8" s="21">
        <v>1995</v>
      </c>
      <c r="B8" s="41">
        <v>1.1000000000000001</v>
      </c>
      <c r="C8" s="41">
        <v>6858</v>
      </c>
      <c r="D8" s="56">
        <f t="shared" si="0"/>
        <v>1.6039661708953048E-4</v>
      </c>
      <c r="E8" s="10">
        <v>2</v>
      </c>
      <c r="G8" s="21">
        <v>1992</v>
      </c>
      <c r="H8" s="41">
        <v>110</v>
      </c>
      <c r="I8" s="41">
        <v>1745</v>
      </c>
      <c r="J8" s="18">
        <f t="shared" si="1"/>
        <v>6.3037249283667621E-2</v>
      </c>
      <c r="K8" s="41">
        <v>170</v>
      </c>
      <c r="L8" s="41">
        <v>4485</v>
      </c>
      <c r="M8" s="18">
        <f t="shared" si="2"/>
        <v>3.79041248606466E-2</v>
      </c>
    </row>
    <row r="9" spans="1:13" ht="15" customHeight="1" x14ac:dyDescent="0.35">
      <c r="A9" s="21">
        <v>1996</v>
      </c>
      <c r="B9" s="41">
        <v>2.4</v>
      </c>
      <c r="C9" s="41">
        <v>8484</v>
      </c>
      <c r="D9" s="56">
        <f t="shared" si="0"/>
        <v>2.8288543140028287E-4</v>
      </c>
      <c r="E9" s="10">
        <v>19</v>
      </c>
      <c r="G9" s="21">
        <v>1993</v>
      </c>
      <c r="H9" s="41">
        <v>135</v>
      </c>
      <c r="I9" s="41">
        <v>2081</v>
      </c>
      <c r="J9" s="18">
        <f t="shared" si="1"/>
        <v>6.4872657376261411E-2</v>
      </c>
      <c r="K9" s="41">
        <v>210</v>
      </c>
      <c r="L9" s="41">
        <v>5137</v>
      </c>
      <c r="M9" s="18">
        <f t="shared" si="2"/>
        <v>4.0879890986957365E-2</v>
      </c>
    </row>
    <row r="10" spans="1:13" ht="15" customHeight="1" x14ac:dyDescent="0.35">
      <c r="A10" s="21">
        <v>1997</v>
      </c>
      <c r="B10" s="41">
        <v>6.7</v>
      </c>
      <c r="C10" s="41">
        <v>10880</v>
      </c>
      <c r="D10" s="56">
        <f t="shared" si="0"/>
        <v>6.1580882352941179E-4</v>
      </c>
      <c r="E10" s="10">
        <v>19</v>
      </c>
      <c r="G10" s="21">
        <v>1994</v>
      </c>
      <c r="H10" s="41">
        <v>140</v>
      </c>
      <c r="I10" s="41">
        <v>2454</v>
      </c>
      <c r="J10" s="18">
        <f t="shared" si="1"/>
        <v>5.7049714751426242E-2</v>
      </c>
      <c r="K10" s="41">
        <v>200</v>
      </c>
      <c r="L10" s="41">
        <v>5068</v>
      </c>
      <c r="M10" s="18">
        <f t="shared" si="2"/>
        <v>3.9463299131807419E-2</v>
      </c>
    </row>
    <row r="11" spans="1:13" ht="15" customHeight="1" x14ac:dyDescent="0.35">
      <c r="A11" s="21">
        <v>1998</v>
      </c>
      <c r="B11" s="41">
        <v>16</v>
      </c>
      <c r="C11" s="41">
        <v>13451</v>
      </c>
      <c r="D11" s="56">
        <f t="shared" si="0"/>
        <v>1.1895026392089807E-3</v>
      </c>
      <c r="E11" s="10">
        <v>29</v>
      </c>
      <c r="G11" s="21">
        <v>1995</v>
      </c>
      <c r="H11" s="41">
        <v>152</v>
      </c>
      <c r="I11" s="41">
        <v>3083</v>
      </c>
      <c r="J11" s="18">
        <f t="shared" si="1"/>
        <v>4.9302627311060658E-2</v>
      </c>
      <c r="K11" s="41">
        <v>310</v>
      </c>
      <c r="L11" s="41">
        <v>6858</v>
      </c>
      <c r="M11" s="18">
        <f t="shared" si="2"/>
        <v>4.5202682997958592E-2</v>
      </c>
    </row>
    <row r="12" spans="1:13" ht="15" customHeight="1" x14ac:dyDescent="0.35">
      <c r="A12" s="21">
        <v>1999</v>
      </c>
      <c r="B12" s="41">
        <v>34</v>
      </c>
      <c r="C12" s="41">
        <v>16635</v>
      </c>
      <c r="D12" s="56">
        <f t="shared" si="0"/>
        <v>2.043883378418996E-3</v>
      </c>
      <c r="E12" s="10">
        <v>30</v>
      </c>
      <c r="G12" s="21">
        <v>1996</v>
      </c>
      <c r="H12" s="41">
        <v>195</v>
      </c>
      <c r="I12" s="41">
        <v>4064</v>
      </c>
      <c r="J12" s="18">
        <f t="shared" si="1"/>
        <v>4.7982283464566927E-2</v>
      </c>
      <c r="K12" s="41">
        <v>405</v>
      </c>
      <c r="L12" s="41">
        <v>8484</v>
      </c>
      <c r="M12" s="18">
        <f t="shared" si="2"/>
        <v>4.7736916548797734E-2</v>
      </c>
    </row>
    <row r="13" spans="1:13" ht="15" customHeight="1" x14ac:dyDescent="0.35">
      <c r="A13" s="21">
        <v>2000</v>
      </c>
      <c r="B13" s="41">
        <v>66</v>
      </c>
      <c r="C13" s="41">
        <v>15104</v>
      </c>
      <c r="D13" s="56">
        <f t="shared" si="0"/>
        <v>4.3697033898305081E-3</v>
      </c>
      <c r="E13" s="10">
        <v>80</v>
      </c>
      <c r="G13" s="21">
        <v>1997</v>
      </c>
      <c r="H13" s="41">
        <v>275</v>
      </c>
      <c r="I13" s="41">
        <v>5778</v>
      </c>
      <c r="J13" s="18">
        <f t="shared" si="1"/>
        <v>4.7594323295257875E-2</v>
      </c>
      <c r="K13" s="41">
        <v>520</v>
      </c>
      <c r="L13" s="41">
        <v>10880</v>
      </c>
      <c r="M13" s="18">
        <f t="shared" si="2"/>
        <v>4.779411764705882E-2</v>
      </c>
    </row>
    <row r="14" spans="1:13" ht="15" customHeight="1" x14ac:dyDescent="0.35">
      <c r="A14" s="21">
        <v>2001</v>
      </c>
      <c r="B14" s="41">
        <v>84</v>
      </c>
      <c r="C14" s="41">
        <v>13855</v>
      </c>
      <c r="D14" s="56">
        <f t="shared" si="0"/>
        <v>6.0627932154456877E-3</v>
      </c>
      <c r="E14" s="10">
        <v>102</v>
      </c>
      <c r="G14" s="21">
        <v>1998</v>
      </c>
      <c r="H14" s="41">
        <v>340</v>
      </c>
      <c r="I14" s="41">
        <v>7318</v>
      </c>
      <c r="J14" s="18">
        <f t="shared" si="1"/>
        <v>4.646078163432632E-2</v>
      </c>
      <c r="K14" s="41">
        <v>580</v>
      </c>
      <c r="L14" s="41">
        <v>13451</v>
      </c>
      <c r="M14" s="18">
        <f t="shared" si="2"/>
        <v>4.3119470671325551E-2</v>
      </c>
    </row>
    <row r="15" spans="1:13" ht="15" customHeight="1" x14ac:dyDescent="0.35">
      <c r="A15" s="21">
        <v>2002</v>
      </c>
      <c r="B15" s="41">
        <v>102</v>
      </c>
      <c r="C15" s="41">
        <v>10049</v>
      </c>
      <c r="D15" s="56">
        <f t="shared" si="0"/>
        <v>1.0150263707831625E-2</v>
      </c>
      <c r="E15" s="10">
        <v>113</v>
      </c>
      <c r="G15" s="21">
        <v>1999</v>
      </c>
      <c r="H15" s="41">
        <v>597</v>
      </c>
      <c r="I15" s="41">
        <v>14223</v>
      </c>
      <c r="J15" s="18">
        <f t="shared" si="1"/>
        <v>4.1974267032271674E-2</v>
      </c>
      <c r="K15" s="41">
        <v>980</v>
      </c>
      <c r="L15" s="41">
        <v>16635</v>
      </c>
      <c r="M15" s="18">
        <f t="shared" si="2"/>
        <v>5.8911932672076943E-2</v>
      </c>
    </row>
    <row r="16" spans="1:13" ht="15" customHeight="1" x14ac:dyDescent="0.35">
      <c r="A16" s="21">
        <v>2003</v>
      </c>
      <c r="B16" s="41">
        <v>151</v>
      </c>
      <c r="C16" s="41">
        <v>14266</v>
      </c>
      <c r="D16" s="56">
        <f t="shared" si="0"/>
        <v>1.0584606757325109E-2</v>
      </c>
      <c r="E16" s="10">
        <v>119</v>
      </c>
      <c r="G16" s="21">
        <v>2000</v>
      </c>
      <c r="H16" s="41">
        <v>560</v>
      </c>
      <c r="I16" s="41">
        <v>14954</v>
      </c>
      <c r="J16" s="18">
        <f t="shared" si="1"/>
        <v>3.7448174401497926E-2</v>
      </c>
      <c r="K16" s="41">
        <v>850</v>
      </c>
      <c r="L16" s="41">
        <v>15104</v>
      </c>
      <c r="M16" s="18">
        <f t="shared" si="2"/>
        <v>5.627648305084746E-2</v>
      </c>
    </row>
    <row r="17" spans="1:13" ht="15" customHeight="1" x14ac:dyDescent="0.35">
      <c r="A17" s="21">
        <v>2004</v>
      </c>
      <c r="B17" s="41">
        <v>228</v>
      </c>
      <c r="C17" s="41">
        <v>16324</v>
      </c>
      <c r="D17" s="56">
        <f t="shared" si="0"/>
        <v>1.3967164910561138E-2</v>
      </c>
      <c r="E17" s="10">
        <v>152</v>
      </c>
      <c r="G17" s="21">
        <v>2001</v>
      </c>
      <c r="H17" s="41">
        <v>382</v>
      </c>
      <c r="I17" s="41">
        <v>10311</v>
      </c>
      <c r="J17" s="18">
        <f t="shared" si="1"/>
        <v>3.7047813015226458E-2</v>
      </c>
      <c r="K17" s="41">
        <v>550</v>
      </c>
      <c r="L17" s="41">
        <v>13855</v>
      </c>
      <c r="M17" s="18">
        <f t="shared" si="2"/>
        <v>3.9696860339227716E-2</v>
      </c>
    </row>
    <row r="18" spans="1:13" ht="15" customHeight="1" x14ac:dyDescent="0.35">
      <c r="A18" s="21">
        <v>2005</v>
      </c>
      <c r="B18" s="41">
        <v>296</v>
      </c>
      <c r="C18" s="41">
        <v>17001</v>
      </c>
      <c r="D18" s="56">
        <f t="shared" si="0"/>
        <v>1.7410740544673842E-2</v>
      </c>
      <c r="E18" s="10">
        <v>204</v>
      </c>
      <c r="G18" s="21">
        <v>2002</v>
      </c>
      <c r="H18" s="41">
        <v>300</v>
      </c>
      <c r="I18" s="41">
        <v>8545</v>
      </c>
      <c r="J18" s="18">
        <f t="shared" si="1"/>
        <v>3.5108250438853128E-2</v>
      </c>
      <c r="K18" s="41">
        <v>420</v>
      </c>
      <c r="L18" s="41">
        <v>10049</v>
      </c>
      <c r="M18" s="18">
        <f t="shared" si="2"/>
        <v>4.1795203502836102E-2</v>
      </c>
    </row>
    <row r="19" spans="1:13" ht="15" customHeight="1" x14ac:dyDescent="0.35">
      <c r="A19" s="21">
        <v>2006</v>
      </c>
      <c r="B19" s="41">
        <v>423</v>
      </c>
      <c r="C19" s="41">
        <v>19426</v>
      </c>
      <c r="D19" s="56">
        <f t="shared" si="0"/>
        <v>2.1774940800988365E-2</v>
      </c>
      <c r="E19" s="10">
        <v>359</v>
      </c>
      <c r="G19" s="21">
        <v>2003</v>
      </c>
      <c r="H19" s="41">
        <v>380</v>
      </c>
      <c r="I19" s="41">
        <v>10089</v>
      </c>
      <c r="J19" s="18">
        <f t="shared" si="1"/>
        <v>3.7664783427495289E-2</v>
      </c>
      <c r="K19" s="41">
        <v>620</v>
      </c>
      <c r="L19" s="41">
        <v>14266</v>
      </c>
      <c r="M19" s="18">
        <f t="shared" si="2"/>
        <v>4.3459974765175942E-2</v>
      </c>
    </row>
    <row r="20" spans="1:13" ht="15" customHeight="1" x14ac:dyDescent="0.35">
      <c r="A20" s="21">
        <v>2007</v>
      </c>
      <c r="B20" s="41">
        <v>608</v>
      </c>
      <c r="C20" s="41">
        <v>19948</v>
      </c>
      <c r="D20" s="56">
        <f t="shared" si="0"/>
        <v>3.0479246039703228E-2</v>
      </c>
      <c r="E20" s="10">
        <v>629</v>
      </c>
      <c r="G20" s="21">
        <v>2004</v>
      </c>
      <c r="H20" s="41">
        <v>520</v>
      </c>
      <c r="I20" s="41">
        <v>11618</v>
      </c>
      <c r="J20" s="18">
        <f t="shared" si="1"/>
        <v>4.4758133930108454E-2</v>
      </c>
      <c r="K20" s="41">
        <v>890</v>
      </c>
      <c r="L20" s="41">
        <v>16324</v>
      </c>
      <c r="M20" s="18">
        <f t="shared" si="2"/>
        <v>5.4520950747365841E-2</v>
      </c>
    </row>
    <row r="21" spans="1:13" ht="15" customHeight="1" x14ac:dyDescent="0.35">
      <c r="A21" s="21">
        <v>2008</v>
      </c>
      <c r="B21" s="41">
        <v>531</v>
      </c>
      <c r="C21" s="41">
        <v>11738</v>
      </c>
      <c r="D21" s="56">
        <f t="shared" si="0"/>
        <v>4.5237689555290513E-2</v>
      </c>
      <c r="E21" s="10">
        <v>728</v>
      </c>
      <c r="G21" s="21">
        <v>2005</v>
      </c>
      <c r="H21" s="41">
        <v>684</v>
      </c>
      <c r="I21" s="41">
        <v>14125</v>
      </c>
      <c r="J21" s="18">
        <f t="shared" si="1"/>
        <v>4.8424778761061944E-2</v>
      </c>
      <c r="K21" s="41">
        <v>1350</v>
      </c>
      <c r="L21" s="41">
        <v>17001</v>
      </c>
      <c r="M21" s="18">
        <f t="shared" si="2"/>
        <v>7.9407093700370565E-2</v>
      </c>
    </row>
    <row r="22" spans="1:13" ht="15" customHeight="1" x14ac:dyDescent="0.35">
      <c r="A22" s="21">
        <v>2009</v>
      </c>
      <c r="B22" s="41">
        <v>777</v>
      </c>
      <c r="C22" s="41">
        <v>15077</v>
      </c>
      <c r="D22" s="56">
        <f t="shared" si="0"/>
        <v>5.1535451349738012E-2</v>
      </c>
      <c r="E22" s="10">
        <v>797</v>
      </c>
      <c r="G22" s="21">
        <v>2006</v>
      </c>
      <c r="H22" s="41">
        <v>900</v>
      </c>
      <c r="I22" s="41">
        <v>21015</v>
      </c>
      <c r="J22" s="18">
        <f t="shared" si="1"/>
        <v>4.2826552462526764E-2</v>
      </c>
      <c r="K22" s="41">
        <v>1680</v>
      </c>
      <c r="L22" s="41">
        <v>19426</v>
      </c>
      <c r="M22" s="18">
        <f t="shared" si="2"/>
        <v>8.6482034386904147E-2</v>
      </c>
    </row>
    <row r="23" spans="1:13" ht="15" customHeight="1" x14ac:dyDescent="0.35">
      <c r="A23" s="21">
        <v>2010</v>
      </c>
      <c r="B23" s="41">
        <v>992</v>
      </c>
      <c r="C23" s="41">
        <v>17139</v>
      </c>
      <c r="D23" s="56">
        <f t="shared" si="0"/>
        <v>5.7879689596825955E-2</v>
      </c>
      <c r="E23" s="10">
        <v>923</v>
      </c>
      <c r="G23" s="21">
        <v>2007</v>
      </c>
      <c r="H23" s="41">
        <v>1182</v>
      </c>
      <c r="I23" s="41">
        <v>29210</v>
      </c>
      <c r="J23" s="18">
        <f t="shared" si="1"/>
        <v>4.046559397466621E-2</v>
      </c>
      <c r="K23" s="41">
        <v>2100</v>
      </c>
      <c r="L23" s="41">
        <v>19948</v>
      </c>
      <c r="M23" s="18">
        <f t="shared" si="2"/>
        <v>0.10527371165029076</v>
      </c>
    </row>
    <row r="24" spans="1:13" ht="15" customHeight="1" x14ac:dyDescent="0.35">
      <c r="A24" s="21">
        <v>2011</v>
      </c>
      <c r="B24" s="41">
        <v>1048</v>
      </c>
      <c r="C24" s="41">
        <v>15641</v>
      </c>
      <c r="D24" s="56">
        <f t="shared" si="0"/>
        <v>6.7003388530145133E-2</v>
      </c>
      <c r="E24" s="10">
        <v>1032</v>
      </c>
      <c r="G24" s="21">
        <v>2008</v>
      </c>
      <c r="H24" s="41">
        <v>1370</v>
      </c>
      <c r="I24" s="41">
        <v>38448</v>
      </c>
      <c r="J24" s="18">
        <f t="shared" si="1"/>
        <v>3.5632542655014567E-2</v>
      </c>
      <c r="K24" s="41">
        <v>1200</v>
      </c>
      <c r="L24" s="41">
        <v>11738</v>
      </c>
      <c r="M24" s="18">
        <f t="shared" si="2"/>
        <v>0.10223206679161698</v>
      </c>
    </row>
    <row r="25" spans="1:13" ht="15" customHeight="1" x14ac:dyDescent="0.35">
      <c r="A25" s="21">
        <v>2012</v>
      </c>
      <c r="B25" s="41">
        <v>1337</v>
      </c>
      <c r="C25" s="41">
        <v>18668</v>
      </c>
      <c r="D25" s="56">
        <f t="shared" si="0"/>
        <v>7.1619884293979003E-2</v>
      </c>
      <c r="E25" s="10">
        <v>1194</v>
      </c>
      <c r="G25" s="21">
        <v>2009</v>
      </c>
      <c r="H25" s="41">
        <v>780</v>
      </c>
      <c r="I25" s="41">
        <v>20210</v>
      </c>
      <c r="J25" s="18">
        <f t="shared" si="1"/>
        <v>3.8594755071746659E-2</v>
      </c>
      <c r="K25" s="41">
        <v>1400</v>
      </c>
      <c r="L25" s="41">
        <v>15077</v>
      </c>
      <c r="M25" s="18">
        <f t="shared" si="2"/>
        <v>9.2856669098627054E-2</v>
      </c>
    </row>
    <row r="26" spans="1:13" ht="15" customHeight="1" x14ac:dyDescent="0.35">
      <c r="A26" s="21">
        <v>2013</v>
      </c>
      <c r="B26" s="41">
        <v>1675</v>
      </c>
      <c r="C26" s="41">
        <v>24035</v>
      </c>
      <c r="D26" s="56">
        <f t="shared" si="0"/>
        <v>6.9690035365092579E-2</v>
      </c>
      <c r="E26" s="10">
        <v>1294</v>
      </c>
      <c r="G26" s="21">
        <v>2010</v>
      </c>
      <c r="H26" s="41">
        <v>916</v>
      </c>
      <c r="I26" s="41">
        <v>21080</v>
      </c>
      <c r="J26" s="18">
        <f t="shared" si="1"/>
        <v>4.3453510436432641E-2</v>
      </c>
      <c r="K26" s="41">
        <v>1650</v>
      </c>
      <c r="L26" s="41">
        <v>17139</v>
      </c>
      <c r="M26" s="18">
        <f t="shared" si="2"/>
        <v>9.627166112375285E-2</v>
      </c>
    </row>
    <row r="27" spans="1:13" ht="15" customHeight="1" x14ac:dyDescent="0.35">
      <c r="A27" s="21">
        <v>2014</v>
      </c>
      <c r="B27" s="41">
        <v>1974</v>
      </c>
      <c r="C27" s="41">
        <v>25069</v>
      </c>
      <c r="D27" s="56">
        <f t="shared" si="0"/>
        <v>7.8742670230164749E-2</v>
      </c>
      <c r="E27" s="10">
        <v>1411</v>
      </c>
      <c r="G27" s="21">
        <v>2011</v>
      </c>
      <c r="H27" s="41">
        <v>870</v>
      </c>
      <c r="I27" s="41">
        <v>22466</v>
      </c>
      <c r="J27" s="18">
        <f t="shared" si="1"/>
        <v>3.8725184723582301E-2</v>
      </c>
      <c r="K27" s="41">
        <v>1450</v>
      </c>
      <c r="L27" s="41">
        <v>15641</v>
      </c>
      <c r="M27" s="18">
        <f t="shared" si="2"/>
        <v>9.2705070008311491E-2</v>
      </c>
    </row>
    <row r="28" spans="1:13" ht="15" customHeight="1" x14ac:dyDescent="0.35">
      <c r="A28" s="21">
        <v>2015</v>
      </c>
      <c r="B28" s="41">
        <v>2101</v>
      </c>
      <c r="C28" s="41">
        <v>25068</v>
      </c>
      <c r="D28" s="56">
        <f t="shared" si="0"/>
        <v>8.3812031274932183E-2</v>
      </c>
      <c r="E28" s="10">
        <v>1594</v>
      </c>
      <c r="G28" s="21">
        <v>2012</v>
      </c>
      <c r="H28" s="41">
        <v>810</v>
      </c>
      <c r="I28" s="41">
        <v>18498</v>
      </c>
      <c r="J28" s="18">
        <f t="shared" si="1"/>
        <v>4.3788517677586763E-2</v>
      </c>
      <c r="K28" s="41">
        <v>1700</v>
      </c>
      <c r="L28" s="41">
        <v>18668</v>
      </c>
      <c r="M28" s="18">
        <f t="shared" si="2"/>
        <v>9.1064923934004713E-2</v>
      </c>
    </row>
    <row r="29" spans="1:13" ht="15" customHeight="1" x14ac:dyDescent="0.35">
      <c r="A29" s="21">
        <v>2016</v>
      </c>
      <c r="B29" s="41">
        <v>2524</v>
      </c>
      <c r="C29" s="41">
        <v>27352</v>
      </c>
      <c r="D29" s="56">
        <f t="shared" si="0"/>
        <v>9.2278443989470604E-2</v>
      </c>
      <c r="E29" s="10">
        <v>1716</v>
      </c>
      <c r="G29" s="21">
        <v>2013</v>
      </c>
      <c r="H29" s="41">
        <v>1046</v>
      </c>
      <c r="I29" s="41">
        <v>19131</v>
      </c>
      <c r="J29" s="18">
        <f t="shared" si="1"/>
        <v>5.4675657310124928E-2</v>
      </c>
      <c r="K29" s="41">
        <v>2200</v>
      </c>
      <c r="L29" s="41">
        <v>24035</v>
      </c>
      <c r="M29" s="18">
        <f t="shared" si="2"/>
        <v>9.1533180778032033E-2</v>
      </c>
    </row>
    <row r="30" spans="1:13" ht="15" customHeight="1" x14ac:dyDescent="0.35">
      <c r="A30" s="21">
        <v>2017</v>
      </c>
      <c r="B30" s="41">
        <v>3401</v>
      </c>
      <c r="C30" s="41">
        <v>32121</v>
      </c>
      <c r="D30" s="56">
        <f t="shared" si="0"/>
        <v>0.1058808878926559</v>
      </c>
      <c r="E30" s="10">
        <v>1832</v>
      </c>
      <c r="G30" s="21">
        <v>2014</v>
      </c>
      <c r="H30" s="41">
        <v>1020</v>
      </c>
      <c r="I30" s="41">
        <v>22500</v>
      </c>
      <c r="J30" s="18">
        <f t="shared" si="1"/>
        <v>4.5333333333333337E-2</v>
      </c>
      <c r="K30" s="41">
        <v>2350</v>
      </c>
      <c r="L30" s="41">
        <v>25069</v>
      </c>
      <c r="M30" s="18">
        <f t="shared" si="2"/>
        <v>9.3741274083529461E-2</v>
      </c>
    </row>
    <row r="31" spans="1:13" ht="15" customHeight="1" x14ac:dyDescent="0.35">
      <c r="A31" s="21">
        <v>2018</v>
      </c>
      <c r="B31" s="41">
        <v>3371</v>
      </c>
      <c r="C31" s="41">
        <v>30437</v>
      </c>
      <c r="D31" s="56">
        <f t="shared" si="0"/>
        <v>0.11075335939810099</v>
      </c>
      <c r="E31" s="10">
        <v>2057</v>
      </c>
      <c r="G31" s="21">
        <v>2015</v>
      </c>
      <c r="H31" s="41">
        <v>912</v>
      </c>
      <c r="I31" s="41">
        <v>23097</v>
      </c>
      <c r="J31" s="18">
        <f t="shared" si="1"/>
        <v>3.9485647486686586E-2</v>
      </c>
      <c r="K31" s="41">
        <v>2450</v>
      </c>
      <c r="L31" s="41">
        <v>25068</v>
      </c>
      <c r="M31" s="18">
        <f t="shared" si="2"/>
        <v>9.773416307643211E-2</v>
      </c>
    </row>
    <row r="32" spans="1:13" ht="15" customHeight="1" x14ac:dyDescent="0.35">
      <c r="A32" s="21">
        <v>2019</v>
      </c>
      <c r="B32" s="41">
        <v>4396</v>
      </c>
      <c r="C32" s="41">
        <v>36469</v>
      </c>
      <c r="D32" s="56">
        <f t="shared" si="0"/>
        <v>0.12054073322547917</v>
      </c>
      <c r="E32" s="10">
        <v>2176</v>
      </c>
      <c r="G32" s="21">
        <v>2016</v>
      </c>
      <c r="H32" s="41">
        <v>850</v>
      </c>
      <c r="I32" s="41">
        <v>22800</v>
      </c>
      <c r="J32" s="18">
        <f t="shared" si="1"/>
        <v>3.7280701754385963E-2</v>
      </c>
      <c r="K32" s="41">
        <v>2300</v>
      </c>
      <c r="L32" s="41">
        <v>27352</v>
      </c>
      <c r="M32" s="18">
        <f t="shared" si="2"/>
        <v>8.4088914887393978E-2</v>
      </c>
    </row>
    <row r="33" spans="1:13" ht="15" customHeight="1" x14ac:dyDescent="0.35">
      <c r="A33" s="21">
        <v>2020</v>
      </c>
      <c r="B33" s="41">
        <v>5447</v>
      </c>
      <c r="C33" s="41">
        <v>40720</v>
      </c>
      <c r="D33" s="56">
        <f t="shared" si="0"/>
        <v>0.13376719056974459</v>
      </c>
      <c r="E33" s="10">
        <v>2296</v>
      </c>
      <c r="G33" s="21">
        <v>2017</v>
      </c>
      <c r="H33" s="41">
        <v>1050</v>
      </c>
      <c r="I33" s="41">
        <v>27510</v>
      </c>
      <c r="J33" s="18">
        <f t="shared" si="1"/>
        <v>3.8167938931297711E-2</v>
      </c>
      <c r="K33" s="41">
        <v>2850</v>
      </c>
      <c r="L33" s="41">
        <v>32121</v>
      </c>
      <c r="M33" s="18">
        <f t="shared" si="2"/>
        <v>8.8727001027365276E-2</v>
      </c>
    </row>
    <row r="34" spans="1:13" ht="15" customHeight="1" x14ac:dyDescent="0.35">
      <c r="A34" s="21">
        <v>2021</v>
      </c>
      <c r="B34" s="41">
        <v>7211</v>
      </c>
      <c r="C34" s="41">
        <v>48560</v>
      </c>
      <c r="D34" s="56">
        <f t="shared" si="0"/>
        <v>0.14849670510708401</v>
      </c>
      <c r="E34" s="10">
        <v>2570</v>
      </c>
      <c r="G34" s="21">
        <v>2018</v>
      </c>
      <c r="H34" s="41">
        <v>1131</v>
      </c>
      <c r="I34" s="41">
        <v>32853</v>
      </c>
      <c r="J34" s="18">
        <f t="shared" si="1"/>
        <v>3.4426079810063008E-2</v>
      </c>
      <c r="K34" s="41">
        <v>3100</v>
      </c>
      <c r="L34" s="41">
        <v>30437</v>
      </c>
      <c r="M34" s="18">
        <f t="shared" si="2"/>
        <v>0.10184972237736965</v>
      </c>
    </row>
    <row r="35" spans="1:13" ht="15" customHeight="1" x14ac:dyDescent="0.35">
      <c r="A35" s="21">
        <v>2022</v>
      </c>
      <c r="B35" s="41">
        <v>6447</v>
      </c>
      <c r="C35" s="41">
        <v>40360</v>
      </c>
      <c r="D35" s="56">
        <f t="shared" si="0"/>
        <v>0.15973736372646186</v>
      </c>
      <c r="E35" s="10">
        <v>2844</v>
      </c>
      <c r="G35" s="21">
        <v>2019</v>
      </c>
      <c r="H35" s="41">
        <v>1200</v>
      </c>
      <c r="I35" s="41">
        <v>30280</v>
      </c>
      <c r="J35" s="18">
        <f t="shared" si="1"/>
        <v>3.9630118890356669E-2</v>
      </c>
      <c r="K35" s="41">
        <v>3500</v>
      </c>
      <c r="L35" s="41">
        <v>36469</v>
      </c>
      <c r="M35" s="18">
        <f t="shared" si="2"/>
        <v>9.5971921357865586E-2</v>
      </c>
    </row>
    <row r="36" spans="1:13" ht="15" customHeight="1" x14ac:dyDescent="0.35">
      <c r="A36" s="21">
        <v>2023</v>
      </c>
      <c r="B36" s="41">
        <v>8115</v>
      </c>
      <c r="C36" s="41">
        <v>50788</v>
      </c>
      <c r="D36" s="56">
        <f t="shared" si="0"/>
        <v>0.15978183822950304</v>
      </c>
      <c r="E36" s="10">
        <v>3108</v>
      </c>
      <c r="G36" s="21">
        <v>2020</v>
      </c>
      <c r="H36" s="41">
        <v>1580</v>
      </c>
      <c r="I36" s="41">
        <v>55780</v>
      </c>
      <c r="J36" s="18">
        <f t="shared" si="1"/>
        <v>2.8325564718537109E-2</v>
      </c>
      <c r="K36" s="41">
        <v>3800</v>
      </c>
      <c r="L36" s="41">
        <v>40720</v>
      </c>
      <c r="M36" s="18">
        <f t="shared" si="2"/>
        <v>9.3320235756385067E-2</v>
      </c>
    </row>
    <row r="37" spans="1:13" ht="15" customHeight="1" x14ac:dyDescent="0.35">
      <c r="A37" s="21">
        <v>2024</v>
      </c>
      <c r="B37" s="41">
        <v>9600</v>
      </c>
      <c r="C37" s="41">
        <v>55200</v>
      </c>
      <c r="D37" s="56">
        <f t="shared" si="0"/>
        <v>0.17391304347826086</v>
      </c>
      <c r="E37" s="10">
        <v>3500</v>
      </c>
      <c r="G37" s="21">
        <v>2021</v>
      </c>
      <c r="H37" s="41">
        <v>1650</v>
      </c>
      <c r="I37" s="41">
        <v>59200</v>
      </c>
      <c r="J37" s="18">
        <f t="shared" si="1"/>
        <v>2.7871621621621621E-2</v>
      </c>
      <c r="K37" s="41">
        <v>4500</v>
      </c>
      <c r="L37" s="41">
        <v>48560</v>
      </c>
      <c r="M37" s="18">
        <f t="shared" si="2"/>
        <v>9.2668863261943984E-2</v>
      </c>
    </row>
    <row r="38" spans="1:13" ht="15" customHeight="1" x14ac:dyDescent="0.35">
      <c r="A38" s="21">
        <v>2025</v>
      </c>
      <c r="B38" s="41">
        <v>10500</v>
      </c>
      <c r="C38" s="41">
        <v>58000</v>
      </c>
      <c r="D38" s="56">
        <f t="shared" si="0"/>
        <v>0.18103448275862069</v>
      </c>
      <c r="E38" s="10">
        <v>3800</v>
      </c>
      <c r="G38" s="21">
        <v>2022</v>
      </c>
      <c r="H38" s="41">
        <v>1180</v>
      </c>
      <c r="I38" s="41">
        <v>53200</v>
      </c>
      <c r="J38" s="18">
        <f t="shared" si="1"/>
        <v>2.218045112781955E-2</v>
      </c>
      <c r="K38" s="41">
        <v>3500</v>
      </c>
      <c r="L38" s="41">
        <v>40360</v>
      </c>
      <c r="M38" s="18">
        <f t="shared" si="2"/>
        <v>8.67195242814668E-2</v>
      </c>
    </row>
    <row r="39" spans="1:13" ht="15" customHeight="1" x14ac:dyDescent="0.35">
      <c r="G39" s="21">
        <v>2023</v>
      </c>
      <c r="H39" s="41">
        <v>1250</v>
      </c>
      <c r="I39" s="41">
        <v>56500</v>
      </c>
      <c r="J39" s="18">
        <f t="shared" si="1"/>
        <v>2.2123893805309734E-2</v>
      </c>
      <c r="K39" s="41">
        <v>3900</v>
      </c>
      <c r="L39" s="41">
        <v>50788</v>
      </c>
      <c r="M39" s="18">
        <f t="shared" si="2"/>
        <v>7.6789792864456169E-2</v>
      </c>
    </row>
    <row r="40" spans="1:13" ht="15" customHeight="1" x14ac:dyDescent="0.35">
      <c r="A40" s="53" t="s">
        <v>226</v>
      </c>
      <c r="B40" s="8"/>
      <c r="C40" s="8"/>
      <c r="D40" s="8"/>
      <c r="E40" s="8"/>
      <c r="G40" s="21">
        <v>2024</v>
      </c>
      <c r="H40" s="41">
        <v>1350</v>
      </c>
      <c r="I40" s="41">
        <v>59400</v>
      </c>
      <c r="J40" s="18">
        <f t="shared" si="1"/>
        <v>2.2727272727272728E-2</v>
      </c>
      <c r="K40" s="41">
        <v>3950</v>
      </c>
      <c r="L40" s="41">
        <v>55200</v>
      </c>
      <c r="M40" s="18">
        <f t="shared" si="2"/>
        <v>7.1557971014492752E-2</v>
      </c>
    </row>
    <row r="41" spans="1:13" ht="15" customHeight="1" x14ac:dyDescent="0.35">
      <c r="A41" s="20" t="s">
        <v>227</v>
      </c>
      <c r="B41" s="34">
        <f>B10</f>
        <v>6.7</v>
      </c>
      <c r="D41" s="56">
        <f>D10</f>
        <v>6.1580882352941179E-4</v>
      </c>
      <c r="G41" s="21">
        <v>2025</v>
      </c>
      <c r="H41" s="41">
        <v>1400</v>
      </c>
      <c r="I41" s="41">
        <v>62000</v>
      </c>
      <c r="J41" s="18">
        <f t="shared" si="1"/>
        <v>2.2580645161290321E-2</v>
      </c>
      <c r="K41" s="41">
        <v>4000</v>
      </c>
      <c r="L41" s="41">
        <v>58000</v>
      </c>
      <c r="M41" s="18">
        <f t="shared" si="2"/>
        <v>6.8965517241379309E-2</v>
      </c>
    </row>
    <row r="42" spans="1:13" ht="15" customHeight="1" x14ac:dyDescent="0.35">
      <c r="A42" s="20" t="s">
        <v>228</v>
      </c>
      <c r="B42" s="34">
        <f>B15</f>
        <v>102</v>
      </c>
      <c r="D42" s="56">
        <f>D15</f>
        <v>1.0150263707831625E-2</v>
      </c>
    </row>
    <row r="43" spans="1:13" ht="15" customHeight="1" x14ac:dyDescent="0.35">
      <c r="A43" s="20" t="s">
        <v>229</v>
      </c>
      <c r="B43" s="34">
        <f>B20</f>
        <v>608</v>
      </c>
      <c r="D43" s="56">
        <f>D20</f>
        <v>3.0479246039703228E-2</v>
      </c>
      <c r="G43" s="53" t="s">
        <v>226</v>
      </c>
      <c r="H43" s="8"/>
      <c r="I43" s="8"/>
      <c r="J43" s="8"/>
      <c r="K43" s="8"/>
      <c r="L43" s="8"/>
      <c r="M43" s="8"/>
    </row>
    <row r="44" spans="1:13" ht="15" customHeight="1" x14ac:dyDescent="0.35">
      <c r="A44" s="20" t="s">
        <v>230</v>
      </c>
      <c r="B44" s="34">
        <f>B25</f>
        <v>1337</v>
      </c>
      <c r="D44" s="56">
        <f>D25</f>
        <v>7.1619884293979003E-2</v>
      </c>
      <c r="G44" s="9" t="s">
        <v>231</v>
      </c>
      <c r="J44" s="18">
        <f>AVERAGE(J6:J41)</f>
        <v>4.1650407474218137E-2</v>
      </c>
    </row>
    <row r="45" spans="1:13" ht="15" customHeight="1" x14ac:dyDescent="0.35">
      <c r="A45" s="20" t="s">
        <v>232</v>
      </c>
      <c r="B45" s="34">
        <f>B35</f>
        <v>6447</v>
      </c>
      <c r="D45" s="56">
        <f>D35</f>
        <v>0.15973736372646186</v>
      </c>
      <c r="G45" s="9" t="s">
        <v>233</v>
      </c>
      <c r="M45" s="18">
        <f>AVERAGE(M6:M41)</f>
        <v>7.128558903297473E-2</v>
      </c>
    </row>
    <row r="46" spans="1:13" ht="15" customHeight="1" x14ac:dyDescent="0.35">
      <c r="A46" s="20" t="s">
        <v>234</v>
      </c>
      <c r="B46" s="34">
        <f>B38</f>
        <v>10500</v>
      </c>
      <c r="D46" s="56">
        <f>D38</f>
        <v>0.18103448275862069</v>
      </c>
      <c r="G46" s="9" t="s">
        <v>235</v>
      </c>
      <c r="J46" s="18">
        <f>MAX(J6:J41)</f>
        <v>6.5789473684210523E-2</v>
      </c>
    </row>
    <row r="47" spans="1:13" ht="15" customHeight="1" x14ac:dyDescent="0.35">
      <c r="G47" s="9" t="s">
        <v>236</v>
      </c>
      <c r="M47" s="18">
        <f>MAX(M6:M41)</f>
        <v>0.10527371165029076</v>
      </c>
    </row>
    <row r="48" spans="1:13" ht="15" customHeight="1" x14ac:dyDescent="0.35">
      <c r="A48" s="57" t="s">
        <v>237</v>
      </c>
      <c r="B48" s="2" t="s">
        <v>238</v>
      </c>
      <c r="C48" s="2"/>
      <c r="D48" s="2"/>
      <c r="E48" s="2"/>
      <c r="G48" s="9" t="s">
        <v>239</v>
      </c>
      <c r="J48" s="18">
        <f>MIN(J6:J41)</f>
        <v>2.2123893805309734E-2</v>
      </c>
    </row>
    <row r="49" spans="1:13" ht="15" customHeight="1" x14ac:dyDescent="0.35">
      <c r="B49" s="2"/>
      <c r="C49" s="2"/>
      <c r="D49" s="2"/>
      <c r="E49" s="2"/>
    </row>
    <row r="50" spans="1:13" ht="15" customHeight="1" x14ac:dyDescent="0.35">
      <c r="G50" s="57" t="s">
        <v>237</v>
      </c>
      <c r="H50" s="2" t="s">
        <v>240</v>
      </c>
      <c r="I50" s="2"/>
      <c r="J50" s="2"/>
      <c r="K50" s="2"/>
      <c r="L50" s="2"/>
      <c r="M50" s="2"/>
    </row>
    <row r="51" spans="1:13" ht="15" customHeight="1" x14ac:dyDescent="0.35">
      <c r="A51" s="58" t="s">
        <v>241</v>
      </c>
      <c r="B51" s="12" t="s">
        <v>242</v>
      </c>
      <c r="H51" s="2"/>
      <c r="I51" s="2"/>
      <c r="J51" s="2"/>
      <c r="K51" s="2"/>
      <c r="L51" s="2"/>
      <c r="M51" s="2"/>
    </row>
    <row r="52" spans="1:13" ht="15" customHeight="1" x14ac:dyDescent="0.35">
      <c r="B52" s="12" t="s">
        <v>243</v>
      </c>
    </row>
    <row r="53" spans="1:13" ht="15" customHeight="1" x14ac:dyDescent="0.35">
      <c r="B53" s="12" t="s">
        <v>244</v>
      </c>
      <c r="G53" s="58" t="s">
        <v>241</v>
      </c>
      <c r="H53" s="12" t="s">
        <v>245</v>
      </c>
    </row>
    <row r="54" spans="1:13" ht="15" customHeight="1" x14ac:dyDescent="0.35">
      <c r="B54" s="12" t="s">
        <v>246</v>
      </c>
      <c r="H54" s="12" t="s">
        <v>247</v>
      </c>
    </row>
    <row r="55" spans="1:13" ht="15" customHeight="1" x14ac:dyDescent="0.35">
      <c r="B55" s="11" t="s">
        <v>248</v>
      </c>
      <c r="H55" s="12" t="s">
        <v>249</v>
      </c>
    </row>
    <row r="56" spans="1:13" ht="15" customHeight="1" x14ac:dyDescent="0.35">
      <c r="H56" s="12" t="s">
        <v>250</v>
      </c>
    </row>
    <row r="57" spans="1:13" ht="15" customHeight="1" x14ac:dyDescent="0.35">
      <c r="H57" s="11" t="s">
        <v>248</v>
      </c>
    </row>
    <row r="59" spans="1:13" ht="15" customHeight="1" x14ac:dyDescent="0.35">
      <c r="A59" s="48" t="s">
        <v>251</v>
      </c>
      <c r="B59" s="8"/>
      <c r="C59" s="8"/>
      <c r="D59" s="8"/>
      <c r="E59" s="8"/>
      <c r="F59" s="8"/>
      <c r="G59" s="8"/>
      <c r="H59" s="8"/>
      <c r="I59" s="8"/>
    </row>
    <row r="60" spans="1:13" ht="23.25" customHeight="1" x14ac:dyDescent="0.35">
      <c r="A60" s="55"/>
      <c r="B60" s="55" t="s">
        <v>252</v>
      </c>
      <c r="C60" s="55" t="s">
        <v>253</v>
      </c>
      <c r="D60" s="55" t="s">
        <v>254</v>
      </c>
      <c r="E60" s="55" t="s">
        <v>255</v>
      </c>
      <c r="F60" s="55" t="s">
        <v>256</v>
      </c>
      <c r="G60" s="55" t="s">
        <v>257</v>
      </c>
      <c r="H60" s="55" t="s">
        <v>258</v>
      </c>
      <c r="I60" s="55" t="s">
        <v>259</v>
      </c>
    </row>
    <row r="61" spans="1:13" ht="15" customHeight="1" x14ac:dyDescent="0.35">
      <c r="A61" s="9" t="s">
        <v>260</v>
      </c>
      <c r="B61" s="21">
        <v>1993</v>
      </c>
      <c r="C61" s="56">
        <f>D10</f>
        <v>6.1580882352941179E-4</v>
      </c>
      <c r="D61" s="56">
        <f>D15</f>
        <v>1.0150263707831625E-2</v>
      </c>
      <c r="E61" s="56">
        <f>D20</f>
        <v>3.0479246039703228E-2</v>
      </c>
      <c r="F61" s="56">
        <f>D25</f>
        <v>7.1619884293979003E-2</v>
      </c>
      <c r="G61" s="56">
        <f>D38</f>
        <v>0.18103448275862069</v>
      </c>
      <c r="H61" s="9" t="s">
        <v>261</v>
      </c>
      <c r="I61" s="59" t="s">
        <v>262</v>
      </c>
    </row>
    <row r="62" spans="1:13" ht="15" customHeight="1" x14ac:dyDescent="0.35">
      <c r="A62" s="9" t="s">
        <v>263</v>
      </c>
      <c r="B62" s="21">
        <v>1990</v>
      </c>
      <c r="C62" s="56">
        <f>J10</f>
        <v>5.7049714751426242E-2</v>
      </c>
      <c r="D62" s="56">
        <f>J15</f>
        <v>4.1974267032271674E-2</v>
      </c>
      <c r="E62" s="56">
        <f>J20</f>
        <v>4.4758133930108454E-2</v>
      </c>
      <c r="F62" s="56">
        <f>J25</f>
        <v>3.8594755071746659E-2</v>
      </c>
      <c r="G62" s="56">
        <f>J41</f>
        <v>2.2580645161290321E-2</v>
      </c>
      <c r="H62" s="9" t="s">
        <v>264</v>
      </c>
      <c r="I62" s="59" t="s">
        <v>265</v>
      </c>
    </row>
    <row r="63" spans="1:13" ht="15" customHeight="1" x14ac:dyDescent="0.35">
      <c r="A63" s="60" t="s">
        <v>266</v>
      </c>
      <c r="B63" s="61">
        <v>2026</v>
      </c>
      <c r="C63" s="62">
        <f>Projection!F21</f>
        <v>1.2068965517241381E-2</v>
      </c>
      <c r="D63" s="62">
        <f>Projection!K21</f>
        <v>6.9827586206896552E-2</v>
      </c>
      <c r="E63" s="63" t="s">
        <v>267</v>
      </c>
      <c r="F63" s="63" t="s">
        <v>267</v>
      </c>
      <c r="G63" s="63" t="s">
        <v>267</v>
      </c>
      <c r="H63" s="60" t="s">
        <v>268</v>
      </c>
      <c r="I63" s="64" t="s">
        <v>269</v>
      </c>
    </row>
    <row r="65" spans="1:13" ht="15" customHeight="1" x14ac:dyDescent="0.35">
      <c r="A65" s="57" t="s">
        <v>270</v>
      </c>
      <c r="B65" s="2" t="s">
        <v>271</v>
      </c>
      <c r="C65" s="2"/>
      <c r="D65" s="2"/>
      <c r="E65" s="2"/>
      <c r="F65" s="2"/>
      <c r="G65" s="2"/>
      <c r="H65" s="2"/>
      <c r="I65" s="2"/>
    </row>
    <row r="66" spans="1:13" ht="15" customHeight="1" x14ac:dyDescent="0.35">
      <c r="B66" s="2"/>
      <c r="C66" s="2"/>
      <c r="D66" s="2"/>
      <c r="E66" s="2"/>
      <c r="F66" s="2"/>
      <c r="G66" s="2"/>
      <c r="H66" s="2"/>
      <c r="I66" s="2"/>
    </row>
    <row r="68" spans="1:13" ht="15" customHeight="1" x14ac:dyDescent="0.35">
      <c r="A68" s="65" t="s">
        <v>272</v>
      </c>
      <c r="B68" s="1" t="s">
        <v>273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5" customHeight="1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</sheetData>
  <mergeCells count="4">
    <mergeCell ref="B48:E49"/>
    <mergeCell ref="H50:M51"/>
    <mergeCell ref="B65:I66"/>
    <mergeCell ref="B68:M69"/>
  </mergeCells>
  <hyperlinks>
    <hyperlink ref="B51" r:id="rId1" xr:uid="{00000000-0004-0000-0400-000000000000}"/>
    <hyperlink ref="B52" r:id="rId2" xr:uid="{00000000-0004-0000-0400-000001000000}"/>
    <hyperlink ref="B53" r:id="rId3" xr:uid="{00000000-0004-0000-0400-000002000000}"/>
    <hyperlink ref="H53" r:id="rId4" xr:uid="{00000000-0004-0000-0400-000003000000}"/>
    <hyperlink ref="B54" r:id="rId5" xr:uid="{00000000-0004-0000-0400-000004000000}"/>
    <hyperlink ref="H54" r:id="rId6" xr:uid="{00000000-0004-0000-0400-000005000000}"/>
    <hyperlink ref="H55" r:id="rId7" xr:uid="{00000000-0004-0000-0400-000006000000}"/>
    <hyperlink ref="H56" r:id="rId8" xr:uid="{00000000-0004-0000-0400-000007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Projection</vt:lpstr>
      <vt:lpstr>Revenue Pools</vt:lpstr>
      <vt:lpstr>Scenarios</vt:lpstr>
      <vt:lpstr>Historical Analogues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Sanskar Chindalia</cp:lastModifiedBy>
  <cp:revision>0</cp:revision>
  <dcterms:created xsi:type="dcterms:W3CDTF">2026-06-17T07:12:59Z</dcterms:created>
  <dcterms:modified xsi:type="dcterms:W3CDTF">2026-06-18T03:01:44Z</dcterms:modified>
  <dc:language>en-US</dc:language>
</cp:coreProperties>
</file>