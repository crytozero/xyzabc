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nskar\Downloads\"/>
    </mc:Choice>
  </mc:AlternateContent>
  <xr:revisionPtr revIDLastSave="0" documentId="8_{1079C045-856F-4418-9024-5FA77DF3453D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Assumptions" sheetId="1" r:id="rId1"/>
    <sheet name="Projection" sheetId="2" r:id="rId2"/>
    <sheet name="Revenue Pools" sheetId="3" r:id="rId3"/>
    <sheet name="Scenarios" sheetId="4" r:id="rId4"/>
    <sheet name="Historical Analogue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8" i="5" l="1"/>
  <c r="M47" i="5"/>
  <c r="J46" i="5"/>
  <c r="B46" i="5"/>
  <c r="B45" i="5"/>
  <c r="B44" i="5"/>
  <c r="B43" i="5"/>
  <c r="B42" i="5"/>
  <c r="M41" i="5"/>
  <c r="J41" i="5"/>
  <c r="B41" i="5"/>
  <c r="M40" i="5"/>
  <c r="J40" i="5"/>
  <c r="M39" i="5"/>
  <c r="J39" i="5"/>
  <c r="M38" i="5"/>
  <c r="J38" i="5"/>
  <c r="D38" i="5"/>
  <c r="M37" i="5"/>
  <c r="J37" i="5"/>
  <c r="D37" i="5"/>
  <c r="M36" i="5"/>
  <c r="J36" i="5"/>
  <c r="D36" i="5"/>
  <c r="M35" i="5"/>
  <c r="J35" i="5"/>
  <c r="D35" i="5"/>
  <c r="M34" i="5"/>
  <c r="J34" i="5"/>
  <c r="D34" i="5"/>
  <c r="M33" i="5"/>
  <c r="J33" i="5"/>
  <c r="D33" i="5"/>
  <c r="M32" i="5"/>
  <c r="J32" i="5"/>
  <c r="D32" i="5"/>
  <c r="M31" i="5"/>
  <c r="J31" i="5"/>
  <c r="D31" i="5"/>
  <c r="M30" i="5"/>
  <c r="J30" i="5"/>
  <c r="D30" i="5"/>
  <c r="M29" i="5"/>
  <c r="J29" i="5"/>
  <c r="D29" i="5"/>
  <c r="M28" i="5"/>
  <c r="J28" i="5"/>
  <c r="D28" i="5"/>
  <c r="M27" i="5"/>
  <c r="J27" i="5"/>
  <c r="D27" i="5"/>
  <c r="M26" i="5"/>
  <c r="J26" i="5"/>
  <c r="D26" i="5"/>
  <c r="M25" i="5"/>
  <c r="J25" i="5"/>
  <c r="D25" i="5"/>
  <c r="M24" i="5"/>
  <c r="J24" i="5"/>
  <c r="D24" i="5"/>
  <c r="M23" i="5"/>
  <c r="J23" i="5"/>
  <c r="D23" i="5"/>
  <c r="M22" i="5"/>
  <c r="J22" i="5"/>
  <c r="D22" i="5"/>
  <c r="M21" i="5"/>
  <c r="J21" i="5"/>
  <c r="D21" i="5"/>
  <c r="M20" i="5"/>
  <c r="J20" i="5"/>
  <c r="D20" i="5"/>
  <c r="M19" i="5"/>
  <c r="J19" i="5"/>
  <c r="D19" i="5"/>
  <c r="M18" i="5"/>
  <c r="J18" i="5"/>
  <c r="D18" i="5"/>
  <c r="M17" i="5"/>
  <c r="J17" i="5"/>
  <c r="D17" i="5"/>
  <c r="M16" i="5"/>
  <c r="J16" i="5"/>
  <c r="D16" i="5"/>
  <c r="M15" i="5"/>
  <c r="J15" i="5"/>
  <c r="D15" i="5"/>
  <c r="M14" i="5"/>
  <c r="J14" i="5"/>
  <c r="D14" i="5"/>
  <c r="M13" i="5"/>
  <c r="J13" i="5"/>
  <c r="D13" i="5"/>
  <c r="M12" i="5"/>
  <c r="J12" i="5"/>
  <c r="D12" i="5"/>
  <c r="M11" i="5"/>
  <c r="J11" i="5"/>
  <c r="D11" i="5"/>
  <c r="M10" i="5"/>
  <c r="J10" i="5"/>
  <c r="D10" i="5"/>
  <c r="M9" i="5"/>
  <c r="J9" i="5"/>
  <c r="D9" i="5"/>
  <c r="M8" i="5"/>
  <c r="J8" i="5"/>
  <c r="D8" i="5"/>
  <c r="M7" i="5"/>
  <c r="J7" i="5"/>
  <c r="D7" i="5"/>
  <c r="M6" i="5"/>
  <c r="J6" i="5"/>
  <c r="D6" i="5"/>
  <c r="B12" i="4"/>
  <c r="B11" i="4"/>
  <c r="B10" i="4"/>
  <c r="K31" i="2"/>
  <c r="J31" i="2"/>
  <c r="I31" i="2"/>
  <c r="H31" i="2"/>
  <c r="G31" i="2"/>
  <c r="F31" i="2"/>
  <c r="E31" i="2"/>
  <c r="D31" i="2"/>
  <c r="C31" i="2"/>
  <c r="B31" i="2"/>
  <c r="K30" i="2"/>
  <c r="J30" i="2"/>
  <c r="I30" i="2"/>
  <c r="H30" i="2"/>
  <c r="G30" i="2"/>
  <c r="F30" i="2"/>
  <c r="E30" i="2"/>
  <c r="D30" i="2"/>
  <c r="C30" i="2"/>
  <c r="B30" i="2"/>
  <c r="K29" i="2"/>
  <c r="J29" i="2"/>
  <c r="I29" i="2"/>
  <c r="H29" i="2"/>
  <c r="G29" i="2"/>
  <c r="F29" i="2"/>
  <c r="E29" i="2"/>
  <c r="D29" i="2"/>
  <c r="C29" i="2"/>
  <c r="B29" i="2"/>
  <c r="K13" i="2"/>
  <c r="J13" i="2"/>
  <c r="I13" i="2"/>
  <c r="H13" i="2"/>
  <c r="G13" i="2"/>
  <c r="F13" i="2"/>
  <c r="E13" i="2"/>
  <c r="D13" i="2"/>
  <c r="C13" i="2"/>
  <c r="B13" i="2"/>
  <c r="K12" i="2"/>
  <c r="J12" i="2"/>
  <c r="I12" i="2"/>
  <c r="H12" i="2"/>
  <c r="G12" i="2"/>
  <c r="F12" i="2"/>
  <c r="E12" i="2"/>
  <c r="D12" i="2"/>
  <c r="C12" i="2"/>
  <c r="B12" i="2"/>
  <c r="K11" i="2"/>
  <c r="J11" i="2"/>
  <c r="I11" i="2"/>
  <c r="H11" i="2"/>
  <c r="G11" i="2"/>
  <c r="F11" i="2"/>
  <c r="E11" i="2"/>
  <c r="D11" i="2"/>
  <c r="C11" i="2"/>
  <c r="B11" i="2"/>
  <c r="B7" i="2"/>
  <c r="B6" i="2"/>
  <c r="B5" i="2"/>
  <c r="D15" i="1"/>
  <c r="C15" i="1"/>
  <c r="B15" i="1"/>
  <c r="E13" i="1"/>
  <c r="E12" i="1"/>
  <c r="G62" i="5" l="1"/>
  <c r="D62" i="5"/>
  <c r="F61" i="5"/>
  <c r="C61" i="5"/>
  <c r="K32" i="2"/>
  <c r="J32" i="2"/>
  <c r="I32" i="2"/>
  <c r="H32" i="2"/>
  <c r="G32" i="2"/>
  <c r="F32" i="2"/>
  <c r="E32" i="2"/>
  <c r="D32" i="2"/>
  <c r="C32" i="2"/>
  <c r="B32" i="2"/>
  <c r="B18" i="2"/>
  <c r="B17" i="2"/>
  <c r="B16" i="2"/>
  <c r="B20" i="2" s="1"/>
  <c r="B8" i="2"/>
  <c r="C7" i="2"/>
  <c r="C6" i="2"/>
  <c r="C5" i="2"/>
  <c r="D14" i="1"/>
  <c r="C14" i="1"/>
  <c r="B14" i="1"/>
  <c r="D46" i="5"/>
  <c r="M45" i="5"/>
  <c r="D45" i="5"/>
  <c r="J44" i="5"/>
  <c r="D44" i="5"/>
  <c r="D43" i="5"/>
  <c r="D42" i="5"/>
  <c r="D41" i="5"/>
  <c r="D18" i="4"/>
  <c r="C18" i="4"/>
  <c r="B18" i="4"/>
  <c r="D17" i="4"/>
  <c r="C17" i="4"/>
  <c r="B17" i="4"/>
  <c r="D16" i="4"/>
  <c r="D20" i="4" s="1"/>
  <c r="D21" i="4" s="1"/>
  <c r="C16" i="4"/>
  <c r="C20" i="4" s="1"/>
  <c r="C21" i="4" s="1"/>
  <c r="B16" i="4"/>
  <c r="B20" i="4" s="1"/>
  <c r="B21" i="4" s="1"/>
  <c r="E62" i="5"/>
  <c r="C62" i="5"/>
  <c r="D61" i="5"/>
  <c r="F62" i="5"/>
  <c r="G61" i="5"/>
  <c r="E61" i="5"/>
  <c r="L32" i="3" l="1"/>
  <c r="L34" i="3" s="1"/>
  <c r="L36" i="3"/>
  <c r="L37" i="3" s="1"/>
  <c r="K32" i="3"/>
  <c r="K34" i="3" s="1"/>
  <c r="K36" i="3"/>
  <c r="K37" i="3" s="1"/>
  <c r="J32" i="3"/>
  <c r="J34" i="3" s="1"/>
  <c r="J36" i="3"/>
  <c r="J37" i="3" s="1"/>
  <c r="I32" i="3"/>
  <c r="I34" i="3" s="1"/>
  <c r="I38" i="3" s="1"/>
  <c r="I54" i="3" s="1"/>
  <c r="I36" i="3"/>
  <c r="I37" i="3" s="1"/>
  <c r="H32" i="3"/>
  <c r="H34" i="3" s="1"/>
  <c r="H36" i="3"/>
  <c r="H37" i="3" s="1"/>
  <c r="G32" i="3"/>
  <c r="G34" i="3" s="1"/>
  <c r="G38" i="3" s="1"/>
  <c r="G54" i="3" s="1"/>
  <c r="G36" i="3"/>
  <c r="G37" i="3" s="1"/>
  <c r="F32" i="3"/>
  <c r="F34" i="3" s="1"/>
  <c r="F36" i="3"/>
  <c r="F37" i="3" s="1"/>
  <c r="E32" i="3"/>
  <c r="E34" i="3" s="1"/>
  <c r="E38" i="3" s="1"/>
  <c r="E54" i="3" s="1"/>
  <c r="E36" i="3"/>
  <c r="E37" i="3" s="1"/>
  <c r="D32" i="3"/>
  <c r="D34" i="3" s="1"/>
  <c r="D36" i="3"/>
  <c r="D37" i="3" s="1"/>
  <c r="C32" i="3"/>
  <c r="C34" i="3" s="1"/>
  <c r="C38" i="3" s="1"/>
  <c r="C54" i="3" s="1"/>
  <c r="C36" i="3"/>
  <c r="C37" i="3" s="1"/>
  <c r="B21" i="2"/>
  <c r="B24" i="2"/>
  <c r="B25" i="2"/>
  <c r="B26" i="2"/>
  <c r="C6" i="3"/>
  <c r="C7" i="3" s="1"/>
  <c r="D7" i="2"/>
  <c r="C18" i="2"/>
  <c r="D6" i="2"/>
  <c r="C17" i="2"/>
  <c r="D5" i="2"/>
  <c r="C8" i="2"/>
  <c r="C16" i="2"/>
  <c r="C20" i="2" s="1"/>
  <c r="E14" i="1"/>
  <c r="C11" i="3" l="1"/>
  <c r="C17" i="3"/>
  <c r="C19" i="3" s="1"/>
  <c r="C21" i="3" s="1"/>
  <c r="C23" i="3" s="1"/>
  <c r="C52" i="3" s="1"/>
  <c r="C27" i="3"/>
  <c r="C29" i="3" s="1"/>
  <c r="C53" i="3" s="1"/>
  <c r="C71" i="3"/>
  <c r="C72" i="3"/>
  <c r="C73" i="3"/>
  <c r="E7" i="2"/>
  <c r="D18" i="2"/>
  <c r="E6" i="2"/>
  <c r="D17" i="2"/>
  <c r="E5" i="2"/>
  <c r="D8" i="2"/>
  <c r="D16" i="2"/>
  <c r="D20" i="2" s="1"/>
  <c r="C21" i="2"/>
  <c r="C24" i="2"/>
  <c r="C25" i="2"/>
  <c r="C26" i="2"/>
  <c r="D6" i="3"/>
  <c r="D7" i="3" s="1"/>
  <c r="L38" i="3"/>
  <c r="L54" i="3" s="1"/>
  <c r="K38" i="3"/>
  <c r="K54" i="3" s="1"/>
  <c r="J38" i="3"/>
  <c r="J54" i="3" s="1"/>
  <c r="D38" i="3"/>
  <c r="D54" i="3" s="1"/>
  <c r="H38" i="3"/>
  <c r="H54" i="3" s="1"/>
  <c r="F38" i="3"/>
  <c r="F54" i="3" s="1"/>
  <c r="C13" i="3" l="1"/>
  <c r="C45" i="3"/>
  <c r="C48" i="3" s="1"/>
  <c r="C56" i="3" s="1"/>
  <c r="C75" i="3" s="1"/>
  <c r="F7" i="2"/>
  <c r="E18" i="2"/>
  <c r="F6" i="2"/>
  <c r="E17" i="2"/>
  <c r="F5" i="2"/>
  <c r="E8" i="2"/>
  <c r="E16" i="2"/>
  <c r="E20" i="2" s="1"/>
  <c r="D21" i="2"/>
  <c r="D24" i="2"/>
  <c r="D25" i="2"/>
  <c r="D26" i="2"/>
  <c r="E6" i="3"/>
  <c r="E7" i="3" s="1"/>
  <c r="D11" i="3"/>
  <c r="D17" i="3"/>
  <c r="D19" i="3" s="1"/>
  <c r="D21" i="3" s="1"/>
  <c r="D23" i="3" s="1"/>
  <c r="D52" i="3" s="1"/>
  <c r="D27" i="3"/>
  <c r="D29" i="3" s="1"/>
  <c r="D53" i="3" s="1"/>
  <c r="D72" i="3"/>
  <c r="D73" i="3"/>
  <c r="C42" i="3" l="1"/>
  <c r="C55" i="3" s="1"/>
  <c r="C74" i="3" s="1"/>
  <c r="C51" i="3"/>
  <c r="G7" i="2"/>
  <c r="F18" i="2"/>
  <c r="G6" i="2"/>
  <c r="F17" i="2"/>
  <c r="G5" i="2"/>
  <c r="F8" i="2"/>
  <c r="F16" i="2"/>
  <c r="F20" i="2" s="1"/>
  <c r="E21" i="2"/>
  <c r="E24" i="2"/>
  <c r="E25" i="2"/>
  <c r="E26" i="2"/>
  <c r="F6" i="3"/>
  <c r="F7" i="3" s="1"/>
  <c r="E11" i="3"/>
  <c r="E17" i="3"/>
  <c r="E19" i="3" s="1"/>
  <c r="E21" i="3" s="1"/>
  <c r="E23" i="3" s="1"/>
  <c r="E52" i="3" s="1"/>
  <c r="E27" i="3"/>
  <c r="E29" i="3" s="1"/>
  <c r="E53" i="3" s="1"/>
  <c r="E73" i="3"/>
  <c r="D13" i="3"/>
  <c r="D45" i="3"/>
  <c r="D48" i="3" s="1"/>
  <c r="D56" i="3" s="1"/>
  <c r="D75" i="3" s="1"/>
  <c r="D71" i="3"/>
  <c r="C70" i="3" l="1"/>
  <c r="C76" i="3" s="1"/>
  <c r="C57" i="3"/>
  <c r="H7" i="2"/>
  <c r="G18" i="2"/>
  <c r="H6" i="2"/>
  <c r="G17" i="2"/>
  <c r="H5" i="2"/>
  <c r="G8" i="2"/>
  <c r="G16" i="2"/>
  <c r="G20" i="2" s="1"/>
  <c r="F21" i="2"/>
  <c r="C63" i="5" s="1"/>
  <c r="F24" i="2"/>
  <c r="F25" i="2"/>
  <c r="F26" i="2"/>
  <c r="G6" i="3"/>
  <c r="G7" i="3" s="1"/>
  <c r="F11" i="3"/>
  <c r="F17" i="3"/>
  <c r="F19" i="3" s="1"/>
  <c r="F21" i="3" s="1"/>
  <c r="F23" i="3" s="1"/>
  <c r="F52" i="3" s="1"/>
  <c r="F27" i="3"/>
  <c r="F29" i="3" s="1"/>
  <c r="F53" i="3" s="1"/>
  <c r="F71" i="3"/>
  <c r="F73" i="3"/>
  <c r="E13" i="3"/>
  <c r="E45" i="3"/>
  <c r="E48" i="3" s="1"/>
  <c r="E56" i="3" s="1"/>
  <c r="E75" i="3" s="1"/>
  <c r="D42" i="3"/>
  <c r="D55" i="3" s="1"/>
  <c r="D74" i="3" s="1"/>
  <c r="D51" i="3"/>
  <c r="E71" i="3"/>
  <c r="E72" i="3"/>
  <c r="C58" i="3" l="1"/>
  <c r="C61" i="3"/>
  <c r="C62" i="3"/>
  <c r="C63" i="3"/>
  <c r="C64" i="3"/>
  <c r="C65" i="3"/>
  <c r="C66" i="3"/>
  <c r="I7" i="2"/>
  <c r="H18" i="2"/>
  <c r="I6" i="2"/>
  <c r="H17" i="2"/>
  <c r="I5" i="2"/>
  <c r="H8" i="2"/>
  <c r="H16" i="2"/>
  <c r="H20" i="2" s="1"/>
  <c r="G21" i="2"/>
  <c r="G24" i="2"/>
  <c r="G25" i="2"/>
  <c r="G26" i="2"/>
  <c r="H6" i="3"/>
  <c r="H7" i="3" s="1"/>
  <c r="G11" i="3"/>
  <c r="G17" i="3"/>
  <c r="G19" i="3" s="1"/>
  <c r="G21" i="3" s="1"/>
  <c r="G23" i="3" s="1"/>
  <c r="G52" i="3" s="1"/>
  <c r="G27" i="3"/>
  <c r="G29" i="3" s="1"/>
  <c r="G53" i="3" s="1"/>
  <c r="G71" i="3"/>
  <c r="G72" i="3"/>
  <c r="G73" i="3"/>
  <c r="F13" i="3"/>
  <c r="F45" i="3"/>
  <c r="F48" i="3" s="1"/>
  <c r="F56" i="3" s="1"/>
  <c r="F75" i="3" s="1"/>
  <c r="E42" i="3"/>
  <c r="E55" i="3" s="1"/>
  <c r="E74" i="3" s="1"/>
  <c r="E51" i="3"/>
  <c r="D70" i="3"/>
  <c r="D76" i="3" s="1"/>
  <c r="D57" i="3"/>
  <c r="F72" i="3"/>
  <c r="J7" i="2" l="1"/>
  <c r="I18" i="2"/>
  <c r="J6" i="2"/>
  <c r="I17" i="2"/>
  <c r="J5" i="2"/>
  <c r="I8" i="2"/>
  <c r="I16" i="2"/>
  <c r="I20" i="2" s="1"/>
  <c r="H21" i="2"/>
  <c r="H24" i="2"/>
  <c r="H25" i="2"/>
  <c r="H26" i="2"/>
  <c r="I6" i="3"/>
  <c r="I7" i="3" s="1"/>
  <c r="H11" i="3"/>
  <c r="H17" i="3"/>
  <c r="H19" i="3" s="1"/>
  <c r="H21" i="3" s="1"/>
  <c r="H23" i="3" s="1"/>
  <c r="H52" i="3" s="1"/>
  <c r="H27" i="3"/>
  <c r="H29" i="3" s="1"/>
  <c r="H53" i="3" s="1"/>
  <c r="H71" i="3"/>
  <c r="H72" i="3"/>
  <c r="H73" i="3"/>
  <c r="G13" i="3"/>
  <c r="G45" i="3"/>
  <c r="G48" i="3" s="1"/>
  <c r="G56" i="3" s="1"/>
  <c r="G75" i="3" s="1"/>
  <c r="F42" i="3"/>
  <c r="F55" i="3" s="1"/>
  <c r="F74" i="3" s="1"/>
  <c r="F51" i="3"/>
  <c r="E70" i="3"/>
  <c r="E76" i="3" s="1"/>
  <c r="E57" i="3"/>
  <c r="D58" i="3"/>
  <c r="D61" i="3"/>
  <c r="D62" i="3"/>
  <c r="D63" i="3"/>
  <c r="D64" i="3"/>
  <c r="D65" i="3"/>
  <c r="D66" i="3"/>
  <c r="C67" i="3"/>
  <c r="K7" i="2" l="1"/>
  <c r="K18" i="2" s="1"/>
  <c r="J18" i="2"/>
  <c r="K6" i="2"/>
  <c r="K17" i="2" s="1"/>
  <c r="J17" i="2"/>
  <c r="K5" i="2"/>
  <c r="J8" i="2"/>
  <c r="J16" i="2"/>
  <c r="J20" i="2" s="1"/>
  <c r="I21" i="2"/>
  <c r="I24" i="2"/>
  <c r="I25" i="2"/>
  <c r="I26" i="2"/>
  <c r="J6" i="3"/>
  <c r="J7" i="3" s="1"/>
  <c r="I11" i="3"/>
  <c r="I17" i="3"/>
  <c r="I19" i="3" s="1"/>
  <c r="I21" i="3" s="1"/>
  <c r="I23" i="3" s="1"/>
  <c r="I52" i="3" s="1"/>
  <c r="I27" i="3"/>
  <c r="I29" i="3" s="1"/>
  <c r="I53" i="3" s="1"/>
  <c r="I71" i="3"/>
  <c r="I72" i="3"/>
  <c r="I73" i="3"/>
  <c r="H13" i="3"/>
  <c r="H45" i="3"/>
  <c r="H48" i="3" s="1"/>
  <c r="H56" i="3" s="1"/>
  <c r="H75" i="3" s="1"/>
  <c r="G42" i="3"/>
  <c r="G55" i="3" s="1"/>
  <c r="G74" i="3" s="1"/>
  <c r="G51" i="3"/>
  <c r="F70" i="3"/>
  <c r="F76" i="3" s="1"/>
  <c r="F57" i="3"/>
  <c r="E58" i="3"/>
  <c r="E61" i="3"/>
  <c r="E62" i="3"/>
  <c r="E63" i="3"/>
  <c r="E64" i="3"/>
  <c r="E65" i="3"/>
  <c r="E66" i="3"/>
  <c r="D67" i="3"/>
  <c r="K8" i="2" l="1"/>
  <c r="K16" i="2"/>
  <c r="K20" i="2" s="1"/>
  <c r="J21" i="2"/>
  <c r="J24" i="2"/>
  <c r="J25" i="2"/>
  <c r="J26" i="2"/>
  <c r="K6" i="3"/>
  <c r="K7" i="3" s="1"/>
  <c r="J11" i="3"/>
  <c r="J17" i="3"/>
  <c r="J19" i="3" s="1"/>
  <c r="J21" i="3" s="1"/>
  <c r="J23" i="3" s="1"/>
  <c r="J52" i="3" s="1"/>
  <c r="J27" i="3"/>
  <c r="J29" i="3" s="1"/>
  <c r="J53" i="3" s="1"/>
  <c r="J72" i="3"/>
  <c r="J73" i="3"/>
  <c r="I13" i="3"/>
  <c r="I45" i="3"/>
  <c r="I48" i="3" s="1"/>
  <c r="I56" i="3" s="1"/>
  <c r="I75" i="3" s="1"/>
  <c r="H42" i="3"/>
  <c r="H55" i="3" s="1"/>
  <c r="H74" i="3" s="1"/>
  <c r="H51" i="3"/>
  <c r="G70" i="3"/>
  <c r="G76" i="3" s="1"/>
  <c r="G57" i="3"/>
  <c r="F58" i="3"/>
  <c r="F61" i="3"/>
  <c r="F62" i="3"/>
  <c r="F63" i="3"/>
  <c r="F64" i="3"/>
  <c r="F65" i="3"/>
  <c r="F66" i="3"/>
  <c r="E67" i="3"/>
  <c r="K21" i="2" l="1"/>
  <c r="D63" i="5" s="1"/>
  <c r="K24" i="2"/>
  <c r="K25" i="2"/>
  <c r="K26" i="2"/>
  <c r="L6" i="3"/>
  <c r="L7" i="3" s="1"/>
  <c r="K11" i="3"/>
  <c r="K17" i="3"/>
  <c r="K19" i="3" s="1"/>
  <c r="K21" i="3" s="1"/>
  <c r="K23" i="3" s="1"/>
  <c r="K52" i="3" s="1"/>
  <c r="K27" i="3"/>
  <c r="K29" i="3" s="1"/>
  <c r="K53" i="3" s="1"/>
  <c r="K71" i="3"/>
  <c r="K72" i="3"/>
  <c r="K73" i="3"/>
  <c r="J13" i="3"/>
  <c r="J45" i="3"/>
  <c r="J48" i="3" s="1"/>
  <c r="J56" i="3" s="1"/>
  <c r="J75" i="3" s="1"/>
  <c r="I42" i="3"/>
  <c r="I55" i="3" s="1"/>
  <c r="I74" i="3" s="1"/>
  <c r="I51" i="3"/>
  <c r="H70" i="3"/>
  <c r="H76" i="3" s="1"/>
  <c r="H57" i="3"/>
  <c r="G58" i="3"/>
  <c r="G61" i="3"/>
  <c r="G62" i="3"/>
  <c r="G63" i="3"/>
  <c r="G64" i="3"/>
  <c r="G65" i="3"/>
  <c r="G66" i="3"/>
  <c r="F67" i="3"/>
  <c r="J71" i="3"/>
  <c r="L11" i="3" l="1"/>
  <c r="L17" i="3"/>
  <c r="L19" i="3" s="1"/>
  <c r="L21" i="3" s="1"/>
  <c r="L23" i="3" s="1"/>
  <c r="L52" i="3" s="1"/>
  <c r="L27" i="3"/>
  <c r="L29" i="3" s="1"/>
  <c r="L53" i="3" s="1"/>
  <c r="L71" i="3"/>
  <c r="L72" i="3"/>
  <c r="L73" i="3"/>
  <c r="K13" i="3"/>
  <c r="K45" i="3"/>
  <c r="K48" i="3" s="1"/>
  <c r="K56" i="3" s="1"/>
  <c r="K75" i="3" s="1"/>
  <c r="J42" i="3"/>
  <c r="J55" i="3" s="1"/>
  <c r="J74" i="3" s="1"/>
  <c r="J51" i="3"/>
  <c r="I70" i="3"/>
  <c r="I76" i="3" s="1"/>
  <c r="I57" i="3"/>
  <c r="H58" i="3"/>
  <c r="H61" i="3"/>
  <c r="H62" i="3"/>
  <c r="H63" i="3"/>
  <c r="H64" i="3"/>
  <c r="H65" i="3"/>
  <c r="H66" i="3"/>
  <c r="G67" i="3"/>
  <c r="L13" i="3" l="1"/>
  <c r="L45" i="3"/>
  <c r="L48" i="3" s="1"/>
  <c r="L56" i="3" s="1"/>
  <c r="L75" i="3" s="1"/>
  <c r="K42" i="3"/>
  <c r="K55" i="3" s="1"/>
  <c r="K74" i="3" s="1"/>
  <c r="K51" i="3"/>
  <c r="J70" i="3"/>
  <c r="J76" i="3" s="1"/>
  <c r="J57" i="3"/>
  <c r="I58" i="3"/>
  <c r="I61" i="3"/>
  <c r="I62" i="3"/>
  <c r="I63" i="3"/>
  <c r="I64" i="3"/>
  <c r="I65" i="3"/>
  <c r="I66" i="3"/>
  <c r="H67" i="3"/>
  <c r="L42" i="3" l="1"/>
  <c r="L55" i="3" s="1"/>
  <c r="L74" i="3" s="1"/>
  <c r="L51" i="3"/>
  <c r="K70" i="3"/>
  <c r="K76" i="3" s="1"/>
  <c r="K57" i="3"/>
  <c r="J58" i="3"/>
  <c r="J61" i="3"/>
  <c r="J62" i="3"/>
  <c r="J63" i="3"/>
  <c r="J64" i="3"/>
  <c r="J65" i="3"/>
  <c r="J66" i="3"/>
  <c r="I67" i="3"/>
  <c r="L70" i="3" l="1"/>
  <c r="L76" i="3" s="1"/>
  <c r="L57" i="3"/>
  <c r="K58" i="3"/>
  <c r="K61" i="3"/>
  <c r="K62" i="3"/>
  <c r="K63" i="3"/>
  <c r="K64" i="3"/>
  <c r="K65" i="3"/>
  <c r="K66" i="3"/>
  <c r="J67" i="3"/>
  <c r="L58" i="3" l="1"/>
  <c r="L61" i="3"/>
  <c r="L62" i="3"/>
  <c r="L63" i="3"/>
  <c r="L64" i="3"/>
  <c r="L65" i="3"/>
  <c r="L66" i="3"/>
  <c r="K67" i="3"/>
  <c r="L67" i="3" l="1"/>
</calcChain>
</file>

<file path=xl/sharedStrings.xml><?xml version="1.0" encoding="utf-8"?>
<sst xmlns="http://schemas.openxmlformats.org/spreadsheetml/2006/main" count="352" uniqueCount="308">
  <si>
    <t>US Tokenized Equity Market: TAM Sizing Model</t>
  </si>
  <si>
    <t>Assumptions &amp; Market Segmentation</t>
  </si>
  <si>
    <t>US Equity Market Overview</t>
  </si>
  <si>
    <t>Source</t>
  </si>
  <si>
    <t>Link</t>
  </si>
  <si>
    <t>Total US listed companies (major exchanges)</t>
  </si>
  <si>
    <t>SIFMA Research Quarterly: Equity, Q1 2026 — 5,492 listed cos (+0.8% Y/Y)</t>
  </si>
  <si>
    <t>https://www.sifma.org/research/statistics/research-quarterly-equity-and-related</t>
  </si>
  <si>
    <t>Total US equity market cap ($Bn)</t>
  </si>
  <si>
    <t>SIFMA Q1 2026 Equity Quarterly: US mkt cap $66.0T (1Q26, -4.3% Q/Q, +12.4% Y/Y)</t>
  </si>
  <si>
    <t>Total US equity ADV ($Bn)</t>
  </si>
  <si>
    <t>Cboe 2025 US Equities Year in Review: ADV $1.1T notional (+43.3% Y/Y)</t>
  </si>
  <si>
    <t>https://www.cboe.com/insights/posts/2025-u-s-equities-year-in-review/</t>
  </si>
  <si>
    <t>ADV-Based Segmentation</t>
  </si>
  <si>
    <t>Low ADV</t>
  </si>
  <si>
    <t>Mid ADV</t>
  </si>
  <si>
    <t>High ADV</t>
  </si>
  <si>
    <t>Total / Check</t>
  </si>
  <si>
    <t>ADV threshold</t>
  </si>
  <si>
    <t>&lt;$5M / day</t>
  </si>
  <si>
    <t>$5M - $50M / day</t>
  </si>
  <si>
    <t>&gt;$50M / day</t>
  </si>
  <si>
    <t>Number of companies</t>
  </si>
  <si>
    <t>Bernstein estimate — segment from Bloomberg EQS (NYSE/NASDAQ/AMEX, common stock, primary only, bucketed by 30D ADV)</t>
  </si>
  <si>
    <t>https://www.cboe.com/markets/us/equities/market-statistics/historical-market-volume/</t>
  </si>
  <si>
    <t>Aggregate market cap ($Bn)</t>
  </si>
  <si>
    <t>Bernstein estimate — proportional split of $66T; verify via Bloomberg EQS mkt cap sum by ADV bucket</t>
  </si>
  <si>
    <t>https://www.sifma.org/research/statistics/fact-book</t>
  </si>
  <si>
    <t>% of total market cap</t>
  </si>
  <si>
    <t>Avg market cap per company ($Bn)</t>
  </si>
  <si>
    <t>Tokenization Penetration Assumptions (% of segment mkt cap)</t>
  </si>
  <si>
    <t>Rationale</t>
  </si>
  <si>
    <t>Early adopters: illiquid names benefit most from 24/7 trading, fractional access</t>
  </si>
  <si>
    <t>Year</t>
  </si>
  <si>
    <t>Low ADV Penetration</t>
  </si>
  <si>
    <t>Mid ADV Penetration</t>
  </si>
  <si>
    <t>High ADV Penetration</t>
  </si>
  <si>
    <t>Source / Rationale</t>
  </si>
  <si>
    <t>Link / Reference</t>
  </si>
  <si>
    <t>DTCC Dec 2025 SEC no-action letter for tokenized equities on blockchain</t>
  </si>
  <si>
    <t>https://www.sec.gov/files/rules/sro/nscc/2025/34-104376.pdf</t>
  </si>
  <si>
    <t>CLARITY Act status — Congress.gov (bill text pending final enrollment)</t>
  </si>
  <si>
    <t>https://www.congress.gov/bill/119th-congress/house-bill/</t>
  </si>
  <si>
    <t>Securitize SEC-registered transfer agent — EDGAR search</t>
  </si>
  <si>
    <t>https://www.sec.gov/cgi-bin/browse-edgar?action=getcompany&amp;company=securitize&amp;CIK=&amp;type=TA&amp;dateb=&amp;owner=include&amp;count=40&amp;search_text=&amp;action=getcompany</t>
  </si>
  <si>
    <t>NYSE digital asset / tokenized securities initiatives — press release</t>
  </si>
  <si>
    <t>https://www.nyse.com/</t>
  </si>
  <si>
    <t>ICI 2025 Fact Book: ETF AUM crossed $10T in 2024 (adoption speed analogue)</t>
  </si>
  <si>
    <t>https://www.ici.org/25-view-factbook-takeaways</t>
  </si>
  <si>
    <t>Figure Markets OPEN network — company site</t>
  </si>
  <si>
    <t>https://www.figure.com/</t>
  </si>
  <si>
    <t>Robinhood EU tokenized US stock trading — newsroom</t>
  </si>
  <si>
    <t>https://newsroom.aboutrobinhood.com/</t>
  </si>
  <si>
    <t>Broadridge DLT repo/collateral platform — press release 2024</t>
  </si>
  <si>
    <t>https://www.broadridge.com/press-release/2024/broadridge-distributed-ledger-repo-platform</t>
  </si>
  <si>
    <t>BlackRock BUIDL tokenized fund — SEC EDGAR filing</t>
  </si>
  <si>
    <t>https://www.sec.gov/cgi-bin/browse-edgar?company=blackrock&amp;CIK=&amp;type=&amp;dateb=&amp;owner=include&amp;count=40&amp;search_text=&amp;action=getcompany</t>
  </si>
  <si>
    <t>ETF penetration analogue at yr 10: ICI Fact Book 2025 (Table 3.1, ETF total net assets)</t>
  </si>
  <si>
    <t>https://www.icifactbook.org/pdf/2025-factbook.pdf</t>
  </si>
  <si>
    <t>Market Cap Growth Assumptions</t>
  </si>
  <si>
    <t>Annual equity market cap growth rate</t>
  </si>
  <si>
    <t>Applied uniformly across segments</t>
  </si>
  <si>
    <t>Bernstein LT nominal equity return assumption (~5% = ~2% real + ~3% inflation)</t>
  </si>
  <si>
    <t>Bernstein internal — no public link</t>
  </si>
  <si>
    <t>US Tokenized Equity Market Cap Projection ($Bn)</t>
  </si>
  <si>
    <t>SEGMENT MARKET CAP (GROWING AT EQUITY MKT GROWTH RATE)</t>
  </si>
  <si>
    <t>Low ADV segment market cap ($Bn)</t>
  </si>
  <si>
    <t>Mid ADV segment market cap ($Bn)</t>
  </si>
  <si>
    <t>High ADV segment market cap ($Bn)</t>
  </si>
  <si>
    <t>TOKENIZATION PENETRATION RATES</t>
  </si>
  <si>
    <t>Low ADV penetration</t>
  </si>
  <si>
    <t>Mid ADV penetration</t>
  </si>
  <si>
    <t>High ADV penetration</t>
  </si>
  <si>
    <t>TOKENIZED MARKET CAP BY SEGMENT ($Bn)</t>
  </si>
  <si>
    <t>Low ADV tokenized mkt cap ($Bn)</t>
  </si>
  <si>
    <t>Mid ADV tokenized mkt cap ($Bn)</t>
  </si>
  <si>
    <t>High ADV tokenized mkt cap ($Bn)</t>
  </si>
  <si>
    <t>Total tokenized equity market cap ($Bn)</t>
  </si>
  <si>
    <t>Blended penetration (% of total mkt cap)</t>
  </si>
  <si>
    <t>CONTRIBUTION BREAKDOWN</t>
  </si>
  <si>
    <t>Low ADV % of tokenized total</t>
  </si>
  <si>
    <t>Mid ADV % of tokenized total</t>
  </si>
  <si>
    <t>High ADV % of tokenized total</t>
  </si>
  <si>
    <t>IMPLIED TOKENIZED ISSUERS (APPROX)</t>
  </si>
  <si>
    <t>Low ADV issuers tokenized</t>
  </si>
  <si>
    <t>Mid ADV issuers tokenized</t>
  </si>
  <si>
    <t>High ADV issuers tokenized</t>
  </si>
  <si>
    <t>Total tokenized issuers</t>
  </si>
  <si>
    <t>Tokenized US Equity Revenue Pool Analysis ($M)</t>
  </si>
  <si>
    <t>Annual revenue by segment, linked to base case tokenized market cap projection</t>
  </si>
  <si>
    <t>Assumption</t>
  </si>
  <si>
    <t>Source Link</t>
  </si>
  <si>
    <t>INPUTS (FROM PROJECTION SHEET)</t>
  </si>
  <si>
    <t>Total tokenized equity mkt cap ($Bn)</t>
  </si>
  <si>
    <t>Total tokenized equity mkt cap ($M)</t>
  </si>
  <si>
    <t>Conversion for revenue calc</t>
  </si>
  <si>
    <t>1. TRADING REVENUE</t>
  </si>
  <si>
    <t>Annual turnover velocity (x mkt cap)</t>
  </si>
  <si>
    <t>US equity turnover ~2.5x mkt cap: SIFMA 2025 Fact Book Table 7.3 (vol / mkt cap)</t>
  </si>
  <si>
    <t>Implied annual trading volume ($M)</t>
  </si>
  <si>
    <t>Blended take rate (bps on volume)</t>
  </si>
  <si>
    <t>Exchange fees: Cboe 2025 net capture ~$0.002/100 shares; spread: SIFMA Compendium 2025 equity market structure</t>
  </si>
  <si>
    <t>Trading revenue ($M)</t>
  </si>
  <si>
    <t>2. MARGIN &amp; SECURITIES LENDING REVENUE</t>
  </si>
  <si>
    <t>% of tokenized mkt cap available for lending</t>
  </si>
  <si>
    <t>Sec lending market: S&amp;P Global Market Intelligence Securities Finance data (15-20% of float lent)</t>
  </si>
  <si>
    <t>https://www.spglobal.com/marketintelligence/en/campaigns/securities-finance</t>
  </si>
  <si>
    <t>Lendable pool ($M)</t>
  </si>
  <si>
    <t>Utilization rate</t>
  </si>
  <si>
    <t>Utilization 25-35%: S&amp;P Global Sec Finance quarterly dashboard (US equity avg)</t>
  </si>
  <si>
    <t>On-loan balance ($M)</t>
  </si>
  <si>
    <t>Avg lending fee (bps, annualized)</t>
  </si>
  <si>
    <t>GC rate 25-40bps, specials higher: S&amp;P Global Sec Finance; also DataLend data</t>
  </si>
  <si>
    <t>Gross lending revenue ($M)</t>
  </si>
  <si>
    <t>Platform share of lending revenue (%)</t>
  </si>
  <si>
    <t>Agent lender split ~20-35%: industry standard per State Street, BNY, JPM sec lending disclosures</t>
  </si>
  <si>
    <t>Bernstein estimate — no single public link</t>
  </si>
  <si>
    <t>Margin &amp; sec lending revenue ($M)</t>
  </si>
  <si>
    <t>3. PRIME BROKERAGE &amp; CUSTODY REVENUE</t>
  </si>
  <si>
    <t>% of tokenized mkt cap under prime/custody</t>
  </si>
  <si>
    <t>Institutional AUM under prime ~60-70%: estimated from COIN Institutional Q1 2026 10-Q, prime balances vs total platform</t>
  </si>
  <si>
    <t>https://www.sec.gov/cgi-bin/browse-edgar?action=getcompany&amp;CIK=COIN&amp;type=10-Q&amp;dateb=&amp;owner=include&amp;count=10&amp;search_text=&amp;action=getcompany</t>
  </si>
  <si>
    <t>Assets under prime/custody ($M)</t>
  </si>
  <si>
    <t>Blended custody + prime fee (bps on AUC)</t>
  </si>
  <si>
    <t>Digital custody 10-50bps: COIN 2025 10-K (custody revenue / AUC); trad custody 1-5bps: BNY 10-K</t>
  </si>
  <si>
    <t>https://www.sec.gov/cgi-bin/browse-edgar?action=getcompany&amp;CIK=COIN&amp;type=10-K&amp;dateb=&amp;owner=include&amp;count=10&amp;search_text=&amp;action=getcompany</t>
  </si>
  <si>
    <t>Prime brokerage &amp; custody revenue ($M)</t>
  </si>
  <si>
    <t>4. NEW ISSUANCE &amp; TOKENIZATION FEES</t>
  </si>
  <si>
    <t>New issuers tokenizing per year</t>
  </si>
  <si>
    <t>Incremental new tokenized issuers per year, from Projection sheet</t>
  </si>
  <si>
    <t>Avg issuance / tokenization fee per issuer ($K)</t>
  </si>
  <si>
    <t>IPO fees 3-7%: SIFMA Fact Book 2025 Table 6.5; tokenization simpler — Bernstein est $200-500K</t>
  </si>
  <si>
    <t>Issuance fee revenue ($M)</t>
  </si>
  <si>
    <t>Annual TA / record-keeping fee per issuer ($K)</t>
  </si>
  <si>
    <t>TA fees ~$50-150K/yr: Computershare/AST pricing — estimated from Computershare FY25 annual report</t>
  </si>
  <si>
    <t>Verify on terminal — no direct public pricing page</t>
  </si>
  <si>
    <t>Cumulative tokenized issuers</t>
  </si>
  <si>
    <t>Annual TA / record-keeping revenue ($M)</t>
  </si>
  <si>
    <t>Total issuance + TA revenue ($M)</t>
  </si>
  <si>
    <t>5. MARKET DATA &amp; INDEX LICENSING</t>
  </si>
  <si>
    <t>Market data rev as % of trading rev</t>
  </si>
  <si>
    <t>Market data = 15-25% of exchange rev: ICE 2025 10-K (Data Services segment), NDAQ 2025 10-K (Market Technology + Info Services)</t>
  </si>
  <si>
    <t>https://www.sec.gov/cgi-bin/browse-edgar?action=getcompany&amp;company=intercontinental+exchange&amp;CIK=&amp;type=10-K&amp;dateb=&amp;owner=include&amp;count=5&amp;search_text=&amp;action=getcompany</t>
  </si>
  <si>
    <t>Market data &amp; index licensing revenue ($M)</t>
  </si>
  <si>
    <t>6. SETTLEMENT &amp; CLEARING FEES</t>
  </si>
  <si>
    <t>Number of trades (M, implied)</t>
  </si>
  <si>
    <t>Avg trade size ($)</t>
  </si>
  <si>
    <t>US equity avg trade size: Cboe market share page (notional / shares); retail skews smaller</t>
  </si>
  <si>
    <t>https://www.cboe.com/us/equities/market_share/</t>
  </si>
  <si>
    <t>Settlement fee per trade ($)</t>
  </si>
  <si>
    <t>NSCC 'value into net' fee: $0.44/million (reduced from $0.46, eff Jan 2026). SEC filing SR-NSCC-2025-017</t>
  </si>
  <si>
    <t>Settlement &amp; clearing revenue ($M)</t>
  </si>
  <si>
    <t>TOTAL TOKENIZED EQUITY REVENUE POOL ($M)</t>
  </si>
  <si>
    <t>1. Trading</t>
  </si>
  <si>
    <t>2. Margin &amp; securities lending</t>
  </si>
  <si>
    <t>3. Prime brokerage &amp; custody</t>
  </si>
  <si>
    <t>4. Issuance + transfer agent fees</t>
  </si>
  <si>
    <t>5. Market data &amp; index licensing</t>
  </si>
  <si>
    <t>6. Settlement &amp; clearing</t>
  </si>
  <si>
    <t>TOTAL REVENUE POOL ($M)</t>
  </si>
  <si>
    <t>Total revenue pool ($Bn)</t>
  </si>
  <si>
    <t>REVENUE MIX (% OF TOTAL)</t>
  </si>
  <si>
    <t>Trading</t>
  </si>
  <si>
    <t>Margin &amp; sec lending</t>
  </si>
  <si>
    <t>Prime &amp; custody</t>
  </si>
  <si>
    <t>Issuance + TA</t>
  </si>
  <si>
    <t>Market data</t>
  </si>
  <si>
    <t>Settlement &amp; clearing</t>
  </si>
  <si>
    <t>Check (should = 100%)</t>
  </si>
  <si>
    <t>REVENUE YIELD (BPS ON TOKENIZED MKT CAP)</t>
  </si>
  <si>
    <t>Total yield (bps)</t>
  </si>
  <si>
    <t>REVENUE POOL → COMPANY MAPPING</t>
  </si>
  <si>
    <t>COIN, FIGR (OPEN network), Bullish, Robinhood (HOOD), NYSE/ICE, NASDAQ</t>
  </si>
  <si>
    <t>COIN Prime, FIGR, Galaxy Digital, Anchorage, Fireblocks</t>
  </si>
  <si>
    <t>Prime brokerage &amp; custody</t>
  </si>
  <si>
    <t>COIN Custody, Anchorage, Fireblocks, BitGo, BNY Mellon, State Street</t>
  </si>
  <si>
    <t>Issuance + TA fees</t>
  </si>
  <si>
    <t>FIGR (Securitize on OPEN), Securitize, DTCC, Computershare, AST Financial</t>
  </si>
  <si>
    <t>Market data &amp; index licensing</t>
  </si>
  <si>
    <t>CRCL (on-chain data layer), Kaiko, Pyth, Chainlink, ICE, NASDAQ</t>
  </si>
  <si>
    <t>CRCL (USDC settlement), FIGR (OPEN), DTCC, Paxos, Fireblocks</t>
  </si>
  <si>
    <t>SOURCE INDEX</t>
  </si>
  <si>
    <t>Trading vol &amp; turnover</t>
  </si>
  <si>
    <t>SIFMA 2025 Fact Book, Table 7.3</t>
  </si>
  <si>
    <t>Exchange fee benchmarks</t>
  </si>
  <si>
    <t>Cboe 2025 US Equities Year in Review (net capture data)</t>
  </si>
  <si>
    <t>NSCC clearing fee</t>
  </si>
  <si>
    <t>SEC Filing SR-NSCC-2025-017: $0.44/M value-into-net</t>
  </si>
  <si>
    <t>NSCC fee schedule guide</t>
  </si>
  <si>
    <t>DTCC fee guide PDF (full schedule)</t>
  </si>
  <si>
    <t>https://www.dtcc.com/~/media/Files/Downloads/legal/fee-guides/nsccfeeguide.pdf</t>
  </si>
  <si>
    <t>Securities lending rates</t>
  </si>
  <si>
    <t>S&amp;P Global Market Intelligence Securities Finance</t>
  </si>
  <si>
    <t>Custody fee benchmarks</t>
  </si>
  <si>
    <t>Coinbase (COIN) 2025 10-K — custody revenue vs AUC</t>
  </si>
  <si>
    <t>https://www.sec.gov/cgi-bin/browse-edgar?action=getcompany&amp;CIK=COIN&amp;type=10-K&amp;dateb=&amp;owner=include&amp;count=5&amp;search_text=&amp;action=getcompany</t>
  </si>
  <si>
    <t>Market data revenue share</t>
  </si>
  <si>
    <t>ICE 2025 10-K — Data Services segment % of total rev</t>
  </si>
  <si>
    <t>IPO / issuance fees</t>
  </si>
  <si>
    <t>SIFMA 2025 Fact Book, Table 6.5 (equity issuance)</t>
  </si>
  <si>
    <t>US mkt cap &amp; listed cos</t>
  </si>
  <si>
    <t>SIFMA Research Quarterly: Equity, Q1 2026</t>
  </si>
  <si>
    <t>DTCC tokenization authority</t>
  </si>
  <si>
    <t>SEC Dec 2025 no-action letter for DTCC tokenized equities</t>
  </si>
  <si>
    <t>https://en.wikipedia.org/wiki/Depository_Trust_%26_Clearing_Corporation</t>
  </si>
  <si>
    <t>Verification notes</t>
  </si>
  <si>
    <t>TA pricing (Computershare/AST): no public schedule — verify via terminal or IR. Agent lender split: estimated from State Street/BNY sec lending program disclosures in 10-Ks. CLARITY Act bill number: pending final enrolled text on Congress.gov. NYSE/Securitize partnership: no stable archived PR URL.</t>
  </si>
  <si>
    <t>Scenario Sensitivity: Terminal Year (2035) Tokenized Market Cap</t>
  </si>
  <si>
    <t>Terminal penetration rate assumptions</t>
  </si>
  <si>
    <t>Bear</t>
  </si>
  <si>
    <t>Base</t>
  </si>
  <si>
    <t>Bull</t>
  </si>
  <si>
    <t>Low ADV terminal penetration</t>
  </si>
  <si>
    <t>Source: Bernstein scenario analysis</t>
  </si>
  <si>
    <t>Mid ADV terminal penetration</t>
  </si>
  <si>
    <t>High ADV terminal penetration</t>
  </si>
  <si>
    <t>Terminal year (2035) segment mkt cap ($Bn)</t>
  </si>
  <si>
    <t>Low ADV mkt cap ($Bn, 2035E)</t>
  </si>
  <si>
    <t>Mid ADV mkt cap ($Bn, 2035E)</t>
  </si>
  <si>
    <t>High ADV mkt cap ($Bn, 2035E)</t>
  </si>
  <si>
    <t>Tokenized market cap by scenario ($Bn)</t>
  </si>
  <si>
    <t>Low ADV tokenized ($Bn)</t>
  </si>
  <si>
    <t>Mid ADV tokenized ($Bn)</t>
  </si>
  <si>
    <t>High ADV tokenized ($Bn)</t>
  </si>
  <si>
    <t>Blended penetration</t>
  </si>
  <si>
    <t>Historical Analogues: ETF &amp; ADR Annual Growth Data</t>
  </si>
  <si>
    <t>Annual data series for benchmarking tokenized equity penetration assumptions</t>
  </si>
  <si>
    <t>US ETF MARKET — ANNUAL DATA (1993–2025)</t>
  </si>
  <si>
    <t>US ADR MARKET — ANNUAL DATA (1990–2025)</t>
  </si>
  <si>
    <t>ETF AUM ($Bn)</t>
  </si>
  <si>
    <t>US Eq Mkt Cap ($Bn)</t>
  </si>
  <si>
    <t>ETF Penetration (%)</t>
  </si>
  <si>
    <t># of ETFs</t>
  </si>
  <si>
    <t>ADR Trading Val ($Bn/yr)</t>
  </si>
  <si>
    <t>US Eq Trading Val ($Bn/yr)</t>
  </si>
  <si>
    <t>ADR % of Trading</t>
  </si>
  <si>
    <t>ADR Mkt Cap ($Bn)</t>
  </si>
  <si>
    <t>ADR % of Mkt Cap</t>
  </si>
  <si>
    <t>Summary</t>
  </si>
  <si>
    <t>Yr 5</t>
  </si>
  <si>
    <t>Yr 10</t>
  </si>
  <si>
    <t>Yr 15</t>
  </si>
  <si>
    <t>Yr 20</t>
  </si>
  <si>
    <t>Avg ADR % trading (all years)</t>
  </si>
  <si>
    <t>Yr 30</t>
  </si>
  <si>
    <t>Avg ADR % mkt cap (all years)</t>
  </si>
  <si>
    <t>Yr 32</t>
  </si>
  <si>
    <t>Peak ADR % trading</t>
  </si>
  <si>
    <t>Peak ADR % mkt cap</t>
  </si>
  <si>
    <t>Takeaway</t>
  </si>
  <si>
    <t>ETFs: &lt;1% penetration through year 10; inflection around year 12-14 (~2-3%); crossed 5% at ~year 17; now ~18% at year 32. First decade = infrastructure + regulatory build; second decade = exponential adoption.</t>
  </si>
  <si>
    <t>Min ADR % trading</t>
  </si>
  <si>
    <t>ADRs: trading share ranged 2-6% over 35 years — remarkably stable niche, never achieved mass penetration. Mkt cap share higher at 4-11%, reflecting larger-cap bias in ADR listings. ADRs are a 'new wrapper for cross-border access' analogue — tokenization of US equities for global investors mirrors this pattern. But tokenization also offers settlement/collateral benefits that ADRs don't, suggesting higher terminal penetration.</t>
  </si>
  <si>
    <t>Sources</t>
  </si>
  <si>
    <t>ICI Fact Book</t>
  </si>
  <si>
    <t>ETF.com</t>
  </si>
  <si>
    <t>ETF Sources</t>
  </si>
  <si>
    <t>SIFMA Capital Markets Fact Book</t>
  </si>
  <si>
    <t>BNY Mellon DR Directory</t>
  </si>
  <si>
    <t>ETF AUM 1993-2023</t>
  </si>
  <si>
    <t>ICI 2025 Fact Book Table 3.1 (ETF total net assets, annual)</t>
  </si>
  <si>
    <t>ADR trading value &amp; programs</t>
  </si>
  <si>
    <t>BNY Mellon Depositary Receipts Annual Market Review (2024 edition)</t>
  </si>
  <si>
    <t>https://www.adrbnymellon.com/market-review</t>
  </si>
  <si>
    <t>ETF AUM 2024</t>
  </si>
  <si>
    <t>ICI '5 Takeaways from 2025 Fact Book' — AUM crossed $10T</t>
  </si>
  <si>
    <t>ADR mkt cap (outstanding)</t>
  </si>
  <si>
    <t>BNY Mellon DR Directory — current ADR outstanding</t>
  </si>
  <si>
    <t>https://www.adrbnymellon.com/directory/dr-directory</t>
  </si>
  <si>
    <t>ETF AUM 2025</t>
  </si>
  <si>
    <t>American Century: US ETF AUM $13.46T at YE2025</t>
  </si>
  <si>
    <t>https://www.americancentury.com/insights/etfs-defying-gravity/</t>
  </si>
  <si>
    <t>US equity trading volume</t>
  </si>
  <si>
    <t>SIFMA 2025 Fact Book, Table 7.3 (equity trading volumes)</t>
  </si>
  <si>
    <t>US equity mkt cap</t>
  </si>
  <si>
    <t>SIFMA 2025 Capital Markets Fact Book, Table 6.1</t>
  </si>
  <si>
    <t>US equity mkt cap (ref)</t>
  </si>
  <si>
    <t>World Federation of Exchanges — annual statistics</t>
  </si>
  <si>
    <t>https://www.world-exchanges.org/our-work/statistics</t>
  </si>
  <si>
    <t>ICI monthly ETF statistical releases</t>
  </si>
  <si>
    <t>https://www.ici.org/research/stats/etf_flows</t>
  </si>
  <si>
    <t>Pre-2000 ADR values</t>
  </si>
  <si>
    <t>Bernstein estimates from WFE aggregates — verify against BNY archive</t>
  </si>
  <si>
    <t>Verify on terminal</t>
  </si>
  <si>
    <t>2024-2025E figures</t>
  </si>
  <si>
    <t>Bernstein estimates where ICI/SIFMA actuals not yet published</t>
  </si>
  <si>
    <t>Launch</t>
  </si>
  <si>
    <t>Yr 5 Pen.</t>
  </si>
  <si>
    <t>Yr 10 Pen.</t>
  </si>
  <si>
    <t>Yr 15 Pen.</t>
  </si>
  <si>
    <t>Yr 20 Pen.</t>
  </si>
  <si>
    <t>Current Pen.</t>
  </si>
  <si>
    <t>Terminal View</t>
  </si>
  <si>
    <t>Primary Driver</t>
  </si>
  <si>
    <t>US ETFs</t>
  </si>
  <si>
    <t>20-25%</t>
  </si>
  <si>
    <t>New product wrapper; tax efficiency</t>
  </si>
  <si>
    <t>US ADRs</t>
  </si>
  <si>
    <t>2-5%</t>
  </si>
  <si>
    <t>Cross-border access wrapper; stable niche</t>
  </si>
  <si>
    <t>Tokenized US equities</t>
  </si>
  <si>
    <t>N/A</t>
  </si>
  <si>
    <t>5-12%</t>
  </si>
  <si>
    <t>New rail; 24/7 settlement, global access, collateral</t>
  </si>
  <si>
    <t>Implication</t>
  </si>
  <si>
    <t>Base case ~7% penetration at year 10 is aggressive vs. ETF precedent (1.1% at year 10) but conservative vs. the argument that tokenization is infrastructure migration, not a new product. ADR analogue suggests cross-border access alone could sustain 5-7%. Settlement and collateral benefits are additive. Bear case floors at ADR-like 2-5%; bull case could approach ETF-like trajectory with 10-15 year lag compression.</t>
  </si>
  <si>
    <t>Data notes</t>
  </si>
  <si>
    <t>ETF AUM: ICI Fact Book is canonical source; pre-2000 data from ETF.com archives. ADR data: BNY Mellon annual DR Market Reviews are primary source; trading values before 2000 are estimated from WFE/SIFMA aggregates. US equity mkt cap: S&amp;P Global / Wilshire 5000 total market index. 2024-2025E figures are Bernstein estimates. Cross-verify ADR trading values against BNY Mellon's published annual reviews on your terminal.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</si>
</sst>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.0"/>
    <numFmt numFmtId="165" formatCode="0.0%"/>
    <numFmt numFmtId="166" formatCode="\$#,##0"/>
    <numFmt numFmtId="167" formatCode="0.0"/>
    <numFmt numFmtId="168" formatCode="#,##0.0"/>
    <numFmt numFmtId="169" formatCode="\$0.00"/>
  </numFmts>
  <fonts count="25" x14ac:knownFonts="1">
    <font>
      <sz val="11"/>
      <color theme="1"/>
      <name val="Calibri"/>
      <family val="2"/>
      <charset val="1"/>
    </font>
    <font>
      <b/>
      <sz val="14"/>
      <color rgb="FF1F4E79"/>
      <name val="Arial"/>
      <family val="2"/>
    </font>
    <font>
      <b/>
      <sz val="11"/>
      <color rgb="FF1F4E7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i/>
      <sz val="9"/>
      <color rgb="FF808080"/>
      <name val="Arial"/>
      <family val="2"/>
    </font>
    <font>
      <u/>
      <sz val="9"/>
      <color rgb="FF0563C1"/>
      <name val="Arial"/>
      <family val="2"/>
    </font>
    <font>
      <sz val="10"/>
      <color rgb="FF000000"/>
      <name val="Arial"/>
      <family val="2"/>
    </font>
    <font>
      <i/>
      <sz val="9"/>
      <name val="Arial"/>
      <family val="2"/>
    </font>
    <font>
      <i/>
      <sz val="9"/>
      <color rgb="FFFF0000"/>
      <name val="Arial"/>
      <family val="2"/>
    </font>
    <font>
      <b/>
      <sz val="9"/>
      <color rgb="FF1F4E79"/>
      <name val="Arial"/>
      <family val="2"/>
    </font>
    <font>
      <sz val="10"/>
      <color rgb="FF008000"/>
      <name val="Arial"/>
      <family val="2"/>
    </font>
    <font>
      <i/>
      <sz val="10"/>
      <color rgb="FF808080"/>
      <name val="Arial"/>
      <family val="2"/>
    </font>
    <font>
      <b/>
      <sz val="11"/>
      <color rgb="FF7030A0"/>
      <name val="Arial"/>
      <family val="2"/>
    </font>
    <font>
      <b/>
      <sz val="12"/>
      <color rgb="FF7030A0"/>
      <name val="Arial"/>
      <family val="2"/>
    </font>
    <font>
      <sz val="9"/>
      <color rgb="FF808080"/>
      <name val="Arial"/>
      <family val="2"/>
    </font>
    <font>
      <b/>
      <sz val="10"/>
      <color rgb="FFED7D31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b/>
      <sz val="13"/>
      <color rgb="FF1F4E79"/>
      <name val="Arial"/>
      <family val="2"/>
    </font>
    <font>
      <i/>
      <sz val="10"/>
      <name val="Arial"/>
      <family val="2"/>
    </font>
    <font>
      <b/>
      <sz val="9"/>
      <color rgb="FF808080"/>
      <name val="Arial"/>
      <family val="2"/>
    </font>
    <font>
      <sz val="9"/>
      <name val="Arial"/>
      <family val="2"/>
    </font>
    <font>
      <b/>
      <sz val="10"/>
      <color rgb="FF1F4E7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6E4F0"/>
        <bgColor rgb="FFE8D5F5"/>
      </patternFill>
    </fill>
    <fill>
      <patternFill patternType="solid">
        <fgColor rgb="FFFFFFCC"/>
        <bgColor rgb="FFFFFFFF"/>
      </patternFill>
    </fill>
    <fill>
      <patternFill patternType="solid">
        <fgColor rgb="FFE8D5F5"/>
        <bgColor rgb="FFD6E4F0"/>
      </patternFill>
    </fill>
    <fill>
      <patternFill patternType="solid">
        <fgColor rgb="FFD5C6E8"/>
        <bgColor rgb="FFE8D5F5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1" fillId="0" borderId="0" xfId="0" applyFont="1"/>
    <xf numFmtId="0" fontId="10" fillId="0" borderId="0" xfId="0" applyFont="1"/>
    <xf numFmtId="0" fontId="7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3" fontId="5" fillId="3" borderId="0" xfId="0" applyNumberFormat="1" applyFont="1" applyFill="1"/>
    <xf numFmtId="0" fontId="6" fillId="0" borderId="0" xfId="0" applyFont="1"/>
    <xf numFmtId="0" fontId="7" fillId="0" borderId="0" xfId="0" applyFont="1"/>
    <xf numFmtId="164" fontId="5" fillId="3" borderId="0" xfId="0" applyNumberFormat="1" applyFont="1" applyFill="1"/>
    <xf numFmtId="0" fontId="3" fillId="0" borderId="0" xfId="0" applyFont="1" applyAlignment="1">
      <alignment horizontal="center"/>
    </xf>
    <xf numFmtId="0" fontId="5" fillId="0" borderId="0" xfId="0" applyFont="1"/>
    <xf numFmtId="3" fontId="8" fillId="0" borderId="0" xfId="0" applyNumberFormat="1" applyFont="1"/>
    <xf numFmtId="164" fontId="8" fillId="0" borderId="0" xfId="0" applyNumberFormat="1" applyFont="1"/>
    <xf numFmtId="165" fontId="8" fillId="0" borderId="0" xfId="0" applyNumberFormat="1" applyFont="1"/>
    <xf numFmtId="0" fontId="9" fillId="0" borderId="0" xfId="0" applyFont="1"/>
    <xf numFmtId="0" fontId="3" fillId="0" borderId="0" xfId="0" applyFont="1"/>
    <xf numFmtId="1" fontId="4" fillId="0" borderId="0" xfId="0" applyNumberFormat="1" applyFont="1"/>
    <xf numFmtId="165" fontId="5" fillId="3" borderId="0" xfId="0" applyNumberFormat="1" applyFont="1" applyFill="1"/>
    <xf numFmtId="0" fontId="10" fillId="0" borderId="0" xfId="0" applyFont="1"/>
    <xf numFmtId="0" fontId="3" fillId="2" borderId="0" xfId="0" applyFont="1" applyFill="1" applyAlignment="1">
      <alignment horizontal="center" wrapText="1"/>
    </xf>
    <xf numFmtId="1" fontId="3" fillId="2" borderId="0" xfId="0" applyNumberFormat="1" applyFont="1" applyFill="1" applyAlignment="1">
      <alignment horizontal="center" wrapText="1"/>
    </xf>
    <xf numFmtId="0" fontId="11" fillId="0" borderId="0" xfId="0" applyFont="1"/>
    <xf numFmtId="164" fontId="3" fillId="0" borderId="1" xfId="0" applyNumberFormat="1" applyFont="1" applyBorder="1"/>
    <xf numFmtId="165" fontId="12" fillId="0" borderId="0" xfId="0" applyNumberFormat="1" applyFont="1"/>
    <xf numFmtId="164" fontId="2" fillId="0" borderId="1" xfId="0" applyNumberFormat="1" applyFont="1" applyBorder="1"/>
    <xf numFmtId="3" fontId="3" fillId="0" borderId="1" xfId="0" applyNumberFormat="1" applyFont="1" applyBorder="1"/>
    <xf numFmtId="0" fontId="13" fillId="0" borderId="0" xfId="0" applyFont="1"/>
    <xf numFmtId="0" fontId="3" fillId="2" borderId="0" xfId="0" applyFon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164" fontId="12" fillId="0" borderId="0" xfId="0" applyNumberFormat="1" applyFont="1"/>
    <xf numFmtId="166" fontId="8" fillId="0" borderId="0" xfId="0" applyNumberFormat="1" applyFont="1"/>
    <xf numFmtId="0" fontId="11" fillId="4" borderId="0" xfId="0" applyFont="1" applyFill="1"/>
    <xf numFmtId="0" fontId="0" fillId="4" borderId="0" xfId="0" applyFill="1"/>
    <xf numFmtId="167" fontId="5" fillId="3" borderId="0" xfId="0" applyNumberFormat="1" applyFont="1" applyFill="1"/>
    <xf numFmtId="166" fontId="3" fillId="0" borderId="0" xfId="0" applyNumberFormat="1" applyFont="1"/>
    <xf numFmtId="1" fontId="5" fillId="3" borderId="0" xfId="0" applyNumberFormat="1" applyFont="1" applyFill="1"/>
    <xf numFmtId="3" fontId="12" fillId="0" borderId="0" xfId="0" applyNumberFormat="1" applyFont="1"/>
    <xf numFmtId="166" fontId="5" fillId="3" borderId="0" xfId="0" applyNumberFormat="1" applyFont="1" applyFill="1"/>
    <xf numFmtId="168" fontId="8" fillId="0" borderId="0" xfId="0" applyNumberFormat="1" applyFont="1"/>
    <xf numFmtId="169" fontId="5" fillId="3" borderId="0" xfId="0" applyNumberFormat="1" applyFont="1" applyFill="1"/>
    <xf numFmtId="0" fontId="14" fillId="5" borderId="0" xfId="0" applyFont="1" applyFill="1"/>
    <xf numFmtId="0" fontId="0" fillId="5" borderId="0" xfId="0" applyFill="1"/>
    <xf numFmtId="0" fontId="15" fillId="0" borderId="0" xfId="0" applyFont="1"/>
    <xf numFmtId="166" fontId="15" fillId="0" borderId="1" xfId="0" applyNumberFormat="1" applyFont="1" applyBorder="1"/>
    <xf numFmtId="0" fontId="11" fillId="2" borderId="0" xfId="0" applyFont="1" applyFill="1"/>
    <xf numFmtId="0" fontId="16" fillId="0" borderId="0" xfId="0" applyFont="1"/>
    <xf numFmtId="165" fontId="16" fillId="0" borderId="0" xfId="0" applyNumberFormat="1" applyFont="1"/>
    <xf numFmtId="167" fontId="8" fillId="0" borderId="0" xfId="0" applyNumberFormat="1" applyFont="1"/>
    <xf numFmtId="167" fontId="3" fillId="0" borderId="1" xfId="0" applyNumberFormat="1" applyFont="1" applyBorder="1"/>
    <xf numFmtId="0" fontId="17" fillId="2" borderId="0" xfId="0" applyFont="1" applyFill="1"/>
    <xf numFmtId="0" fontId="4" fillId="2" borderId="0" xfId="0" applyFont="1" applyFill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3" fillId="0" borderId="0" xfId="0" applyFont="1" applyAlignment="1">
      <alignment horizontal="center" wrapText="1"/>
    </xf>
    <xf numFmtId="10" fontId="8" fillId="0" borderId="0" xfId="0" applyNumberFormat="1" applyFont="1"/>
    <xf numFmtId="0" fontId="17" fillId="0" borderId="0" xfId="0" applyFont="1"/>
    <xf numFmtId="0" fontId="22" fillId="0" borderId="0" xfId="0" applyFont="1"/>
    <xf numFmtId="0" fontId="18" fillId="2" borderId="0" xfId="0" applyFont="1" applyFill="1"/>
    <xf numFmtId="0" fontId="6" fillId="2" borderId="0" xfId="0" applyFont="1" applyFill="1"/>
    <xf numFmtId="0" fontId="23" fillId="0" borderId="0" xfId="0" applyFont="1"/>
    <xf numFmtId="0" fontId="24" fillId="0" borderId="2" xfId="0" applyFont="1" applyBorder="1"/>
    <xf numFmtId="1" fontId="4" fillId="0" borderId="2" xfId="0" applyNumberFormat="1" applyFont="1" applyBorder="1"/>
    <xf numFmtId="10" fontId="12" fillId="0" borderId="2" xfId="0" applyNumberFormat="1" applyFont="1" applyBorder="1"/>
    <xf numFmtId="0" fontId="4" fillId="0" borderId="2" xfId="0" applyFont="1" applyBorder="1"/>
    <xf numFmtId="0" fontId="2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8D5F5"/>
      <rgbColor rgb="FF808080"/>
      <rgbColor rgb="FF9999FF"/>
      <rgbColor rgb="FF7030A0"/>
      <rgbColor rgb="FFFFFFCC"/>
      <rgbColor rgb="FFD6E4F0"/>
      <rgbColor rgb="FF660066"/>
      <rgbColor rgb="FFFF8080"/>
      <rgbColor rgb="FF0563C1"/>
      <rgbColor rgb="FFD5C6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ec.gov/cgi-bin/browse-edgar?action=getcompany&amp;company=securitize&amp;CIK=&amp;type=TA&amp;dateb=&amp;owner=include&amp;count=40&amp;search_text=&amp;action=getcompany" TargetMode="External"/><Relationship Id="rId13" Type="http://schemas.openxmlformats.org/officeDocument/2006/relationships/hyperlink" Target="https://www.broadridge.com/press-release/2024/broadridge-distributed-ledger-repo-platform" TargetMode="External"/><Relationship Id="rId3" Type="http://schemas.openxmlformats.org/officeDocument/2006/relationships/hyperlink" Target="https://www.cboe.com/insights/posts/2025-u-s-equities-year-in-review/" TargetMode="External"/><Relationship Id="rId7" Type="http://schemas.openxmlformats.org/officeDocument/2006/relationships/hyperlink" Target="https://www.congress.gov/bill/119th-congress/house-bill/" TargetMode="External"/><Relationship Id="rId12" Type="http://schemas.openxmlformats.org/officeDocument/2006/relationships/hyperlink" Target="https://newsroom.aboutrobinhood.com/" TargetMode="External"/><Relationship Id="rId2" Type="http://schemas.openxmlformats.org/officeDocument/2006/relationships/hyperlink" Target="https://www.sifma.org/research/statistics/research-quarterly-equity-and-related" TargetMode="External"/><Relationship Id="rId1" Type="http://schemas.openxmlformats.org/officeDocument/2006/relationships/hyperlink" Target="https://www.sifma.org/research/statistics/research-quarterly-equity-and-related" TargetMode="External"/><Relationship Id="rId6" Type="http://schemas.openxmlformats.org/officeDocument/2006/relationships/hyperlink" Target="https://www.sec.gov/files/rules/sro/nscc/2025/34-104376.pdf" TargetMode="External"/><Relationship Id="rId11" Type="http://schemas.openxmlformats.org/officeDocument/2006/relationships/hyperlink" Target="https://www.figure.com/" TargetMode="External"/><Relationship Id="rId5" Type="http://schemas.openxmlformats.org/officeDocument/2006/relationships/hyperlink" Target="https://www.sifma.org/research/statistics/fact-book" TargetMode="External"/><Relationship Id="rId15" Type="http://schemas.openxmlformats.org/officeDocument/2006/relationships/hyperlink" Target="https://www.icifactbook.org/pdf/2025-factbook.pdf" TargetMode="External"/><Relationship Id="rId10" Type="http://schemas.openxmlformats.org/officeDocument/2006/relationships/hyperlink" Target="https://www.ici.org/25-view-factbook-takeaways" TargetMode="External"/><Relationship Id="rId4" Type="http://schemas.openxmlformats.org/officeDocument/2006/relationships/hyperlink" Target="https://www.cboe.com/markets/us/equities/market-statistics/historical-market-volume/" TargetMode="External"/><Relationship Id="rId9" Type="http://schemas.openxmlformats.org/officeDocument/2006/relationships/hyperlink" Target="https://www.nyse.com/" TargetMode="External"/><Relationship Id="rId14" Type="http://schemas.openxmlformats.org/officeDocument/2006/relationships/hyperlink" Target="https://www.sec.gov/cgi-bin/browse-edgar?company=blackrock&amp;CIK=&amp;type=&amp;dateb=&amp;owner=include&amp;count=40&amp;search_text=&amp;action=getcompany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ifma.org/research/statistics/fact-book" TargetMode="External"/><Relationship Id="rId13" Type="http://schemas.openxmlformats.org/officeDocument/2006/relationships/hyperlink" Target="https://www.cboe.com/insights/posts/2025-u-s-equities-year-in-review/" TargetMode="External"/><Relationship Id="rId18" Type="http://schemas.openxmlformats.org/officeDocument/2006/relationships/hyperlink" Target="https://www.sec.gov/cgi-bin/browse-edgar?action=getcompany&amp;company=intercontinental+exchange&amp;CIK=&amp;type=10-K&amp;dateb=&amp;owner=include&amp;count=5&amp;search_text=&amp;action=getcompany" TargetMode="External"/><Relationship Id="rId3" Type="http://schemas.openxmlformats.org/officeDocument/2006/relationships/hyperlink" Target="https://www.spglobal.com/marketintelligence/en/campaigns/securities-finance" TargetMode="External"/><Relationship Id="rId21" Type="http://schemas.openxmlformats.org/officeDocument/2006/relationships/hyperlink" Target="https://en.wikipedia.org/wiki/Depository_Trust_%26_Clearing_Corporation" TargetMode="External"/><Relationship Id="rId7" Type="http://schemas.openxmlformats.org/officeDocument/2006/relationships/hyperlink" Target="https://www.sec.gov/cgi-bin/browse-edgar?action=getcompany&amp;CIK=COIN&amp;type=10-K&amp;dateb=&amp;owner=include&amp;count=10&amp;search_text=&amp;action=getcompany" TargetMode="External"/><Relationship Id="rId12" Type="http://schemas.openxmlformats.org/officeDocument/2006/relationships/hyperlink" Target="https://www.sifma.org/research/statistics/fact-book" TargetMode="External"/><Relationship Id="rId17" Type="http://schemas.openxmlformats.org/officeDocument/2006/relationships/hyperlink" Target="https://www.sec.gov/cgi-bin/browse-edgar?action=getcompany&amp;CIK=COIN&amp;type=10-K&amp;dateb=&amp;owner=include&amp;count=5&amp;search_text=&amp;action=getcompany" TargetMode="External"/><Relationship Id="rId2" Type="http://schemas.openxmlformats.org/officeDocument/2006/relationships/hyperlink" Target="https://www.cboe.com/insights/posts/2025-u-s-equities-year-in-review/" TargetMode="External"/><Relationship Id="rId16" Type="http://schemas.openxmlformats.org/officeDocument/2006/relationships/hyperlink" Target="https://www.spglobal.com/marketintelligence/en/campaigns/securities-finance" TargetMode="External"/><Relationship Id="rId20" Type="http://schemas.openxmlformats.org/officeDocument/2006/relationships/hyperlink" Target="https://www.sifma.org/research/statistics/research-quarterly-equity-and-related" TargetMode="External"/><Relationship Id="rId1" Type="http://schemas.openxmlformats.org/officeDocument/2006/relationships/hyperlink" Target="https://www.sifma.org/research/statistics/fact-book" TargetMode="External"/><Relationship Id="rId6" Type="http://schemas.openxmlformats.org/officeDocument/2006/relationships/hyperlink" Target="https://www.sec.gov/cgi-bin/browse-edgar?action=getcompany&amp;CIK=COIN&amp;type=10-Q&amp;dateb=&amp;owner=include&amp;count=10&amp;search_text=&amp;action=getcompany" TargetMode="External"/><Relationship Id="rId11" Type="http://schemas.openxmlformats.org/officeDocument/2006/relationships/hyperlink" Target="https://www.sec.gov/files/rules/sro/nscc/2025/34-104376.pdf" TargetMode="External"/><Relationship Id="rId5" Type="http://schemas.openxmlformats.org/officeDocument/2006/relationships/hyperlink" Target="https://www.spglobal.com/marketintelligence/en/campaigns/securities-finance" TargetMode="External"/><Relationship Id="rId15" Type="http://schemas.openxmlformats.org/officeDocument/2006/relationships/hyperlink" Target="https://www.dtcc.com/~/media/Files/Downloads/legal/fee-guides/nsccfeeguide.pdf" TargetMode="External"/><Relationship Id="rId10" Type="http://schemas.openxmlformats.org/officeDocument/2006/relationships/hyperlink" Target="https://www.cboe.com/us/equities/market_share/" TargetMode="External"/><Relationship Id="rId19" Type="http://schemas.openxmlformats.org/officeDocument/2006/relationships/hyperlink" Target="https://www.sifma.org/research/statistics/fact-book" TargetMode="External"/><Relationship Id="rId4" Type="http://schemas.openxmlformats.org/officeDocument/2006/relationships/hyperlink" Target="https://www.spglobal.com/marketintelligence/en/campaigns/securities-finance" TargetMode="External"/><Relationship Id="rId9" Type="http://schemas.openxmlformats.org/officeDocument/2006/relationships/hyperlink" Target="https://www.sec.gov/cgi-bin/browse-edgar?action=getcompany&amp;company=intercontinental+exchange&amp;CIK=&amp;type=10-K&amp;dateb=&amp;owner=include&amp;count=5&amp;search_text=&amp;action=getcompany" TargetMode="External"/><Relationship Id="rId14" Type="http://schemas.openxmlformats.org/officeDocument/2006/relationships/hyperlink" Target="https://www.sec.gov/files/rules/sro/nscc/2025/34-104376.pdf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ifma.org/research/statistics/fact-book" TargetMode="External"/><Relationship Id="rId13" Type="http://schemas.openxmlformats.org/officeDocument/2006/relationships/hyperlink" Target="https://www.adrbnymellon.com/directory/dr-directory" TargetMode="External"/><Relationship Id="rId18" Type="http://schemas.openxmlformats.org/officeDocument/2006/relationships/hyperlink" Target="https://www.ici.org/25-view-factbook-takeaways" TargetMode="External"/><Relationship Id="rId26" Type="http://schemas.openxmlformats.org/officeDocument/2006/relationships/hyperlink" Target="https://www.ici.org/research/stats/etf_flows" TargetMode="External"/><Relationship Id="rId3" Type="http://schemas.openxmlformats.org/officeDocument/2006/relationships/hyperlink" Target="https://www.americancentury.com/insights/etfs-defying-gravity/" TargetMode="External"/><Relationship Id="rId21" Type="http://schemas.openxmlformats.org/officeDocument/2006/relationships/hyperlink" Target="https://www.americancentury.com/insights/etfs-defying-gravity/" TargetMode="External"/><Relationship Id="rId7" Type="http://schemas.openxmlformats.org/officeDocument/2006/relationships/hyperlink" Target="https://www.adrbnymellon.com/directory/dr-directory" TargetMode="External"/><Relationship Id="rId12" Type="http://schemas.openxmlformats.org/officeDocument/2006/relationships/hyperlink" Target="https://www.sifma.org/resources/research/fact-book/" TargetMode="External"/><Relationship Id="rId17" Type="http://schemas.openxmlformats.org/officeDocument/2006/relationships/hyperlink" Target="https://www.adrbnymellon.com/market-review" TargetMode="External"/><Relationship Id="rId25" Type="http://schemas.openxmlformats.org/officeDocument/2006/relationships/hyperlink" Target="https://www.world-exchanges.org/our-work/statistics" TargetMode="External"/><Relationship Id="rId2" Type="http://schemas.openxmlformats.org/officeDocument/2006/relationships/hyperlink" Target="https://www.ici.org/25-view-factbook-takeaways" TargetMode="External"/><Relationship Id="rId16" Type="http://schemas.openxmlformats.org/officeDocument/2006/relationships/hyperlink" Target="https://www.adrbnymellon.com/market-review" TargetMode="External"/><Relationship Id="rId20" Type="http://schemas.openxmlformats.org/officeDocument/2006/relationships/hyperlink" Target="https://www.adrbnymellon.com/directory/dr-directory" TargetMode="External"/><Relationship Id="rId1" Type="http://schemas.openxmlformats.org/officeDocument/2006/relationships/hyperlink" Target="https://www.icifactbook.org/pdf/2025-factbook.pdf" TargetMode="External"/><Relationship Id="rId6" Type="http://schemas.openxmlformats.org/officeDocument/2006/relationships/hyperlink" Target="https://www.adrbnymellon.com/market-review" TargetMode="External"/><Relationship Id="rId11" Type="http://schemas.openxmlformats.org/officeDocument/2006/relationships/hyperlink" Target="https://www.etf.com/sections/etf-basics" TargetMode="External"/><Relationship Id="rId24" Type="http://schemas.openxmlformats.org/officeDocument/2006/relationships/hyperlink" Target="https://www.sifma.org/research/statistics/fact-book" TargetMode="External"/><Relationship Id="rId5" Type="http://schemas.openxmlformats.org/officeDocument/2006/relationships/hyperlink" Target="https://www.ici.org/research/stats/etf_flows" TargetMode="External"/><Relationship Id="rId15" Type="http://schemas.openxmlformats.org/officeDocument/2006/relationships/hyperlink" Target="https://www.icifactbook.org/pdf/2025-factbook.pdf" TargetMode="External"/><Relationship Id="rId23" Type="http://schemas.openxmlformats.org/officeDocument/2006/relationships/hyperlink" Target="https://www.sifma.org/research/statistics/fact-book" TargetMode="External"/><Relationship Id="rId10" Type="http://schemas.openxmlformats.org/officeDocument/2006/relationships/hyperlink" Target="https://www.ici.org/research/stats/factbook" TargetMode="External"/><Relationship Id="rId19" Type="http://schemas.openxmlformats.org/officeDocument/2006/relationships/hyperlink" Target="https://www.sifma.org/resources/research/us-equity-markets-statistics/" TargetMode="External"/><Relationship Id="rId4" Type="http://schemas.openxmlformats.org/officeDocument/2006/relationships/hyperlink" Target="https://www.sifma.org/research/statistics/fact-book" TargetMode="External"/><Relationship Id="rId9" Type="http://schemas.openxmlformats.org/officeDocument/2006/relationships/hyperlink" Target="https://www.world-exchanges.org/our-work/statistics" TargetMode="External"/><Relationship Id="rId14" Type="http://schemas.openxmlformats.org/officeDocument/2006/relationships/hyperlink" Target="https://www.spglobal.com/marketintelligence/" TargetMode="External"/><Relationship Id="rId22" Type="http://schemas.openxmlformats.org/officeDocument/2006/relationships/hyperlink" Target="https://www.world-exchanges.org/our-work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G33"/>
  <sheetViews>
    <sheetView tabSelected="1"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35" customWidth="1"/>
    <col min="2" max="4" width="18" customWidth="1"/>
    <col min="5" max="5" width="22" customWidth="1"/>
    <col min="6" max="6" width="62" customWidth="1"/>
    <col min="7" max="7" width="80" customWidth="1"/>
  </cols>
  <sheetData>
    <row r="1" spans="1:7" ht="17.25" customHeight="1" x14ac:dyDescent="0.4">
      <c r="A1" s="7" t="s">
        <v>0</v>
      </c>
    </row>
    <row r="2" spans="1:7" ht="15" customHeight="1" x14ac:dyDescent="0.35">
      <c r="A2" s="8" t="s">
        <v>1</v>
      </c>
    </row>
    <row r="4" spans="1:7" ht="15" customHeight="1" x14ac:dyDescent="0.35">
      <c r="A4" s="9" t="s">
        <v>2</v>
      </c>
      <c r="B4" s="10"/>
      <c r="C4" s="10"/>
      <c r="D4" s="10"/>
      <c r="E4" s="10"/>
      <c r="F4" s="9" t="s">
        <v>3</v>
      </c>
      <c r="G4" s="9" t="s">
        <v>4</v>
      </c>
    </row>
    <row r="5" spans="1:7" ht="15" customHeight="1" x14ac:dyDescent="0.35">
      <c r="A5" s="11" t="s">
        <v>5</v>
      </c>
      <c r="B5" s="12">
        <v>5492</v>
      </c>
      <c r="F5" s="13" t="s">
        <v>6</v>
      </c>
      <c r="G5" s="14" t="s">
        <v>7</v>
      </c>
    </row>
    <row r="6" spans="1:7" ht="15" customHeight="1" x14ac:dyDescent="0.35">
      <c r="A6" s="11" t="s">
        <v>8</v>
      </c>
      <c r="B6" s="15">
        <v>66000</v>
      </c>
      <c r="F6" s="13" t="s">
        <v>9</v>
      </c>
      <c r="G6" s="14" t="s">
        <v>7</v>
      </c>
    </row>
    <row r="7" spans="1:7" ht="15" customHeight="1" x14ac:dyDescent="0.35">
      <c r="A7" s="11" t="s">
        <v>10</v>
      </c>
      <c r="B7" s="15">
        <v>1100</v>
      </c>
      <c r="F7" s="13" t="s">
        <v>11</v>
      </c>
      <c r="G7" s="14" t="s">
        <v>12</v>
      </c>
    </row>
    <row r="9" spans="1:7" ht="15" customHeight="1" x14ac:dyDescent="0.35">
      <c r="A9" s="9" t="s">
        <v>13</v>
      </c>
      <c r="B9" s="10"/>
      <c r="C9" s="10"/>
      <c r="D9" s="10"/>
      <c r="E9" s="10"/>
      <c r="F9" s="9" t="s">
        <v>3</v>
      </c>
      <c r="G9" s="9" t="s">
        <v>4</v>
      </c>
    </row>
    <row r="10" spans="1:7" ht="15" customHeight="1" x14ac:dyDescent="0.35">
      <c r="A10" s="16"/>
      <c r="B10" s="16" t="s">
        <v>14</v>
      </c>
      <c r="C10" s="16" t="s">
        <v>15</v>
      </c>
      <c r="D10" s="16" t="s">
        <v>16</v>
      </c>
      <c r="E10" s="16" t="s">
        <v>17</v>
      </c>
    </row>
    <row r="11" spans="1:7" ht="15" customHeight="1" x14ac:dyDescent="0.35">
      <c r="A11" s="11" t="s">
        <v>18</v>
      </c>
      <c r="B11" s="17" t="s">
        <v>19</v>
      </c>
      <c r="C11" s="17" t="s">
        <v>20</v>
      </c>
      <c r="D11" s="17" t="s">
        <v>21</v>
      </c>
    </row>
    <row r="12" spans="1:7" ht="15" customHeight="1" x14ac:dyDescent="0.35">
      <c r="A12" s="11" t="s">
        <v>22</v>
      </c>
      <c r="B12" s="12">
        <v>3100</v>
      </c>
      <c r="C12" s="12">
        <v>1800</v>
      </c>
      <c r="D12" s="12">
        <v>592</v>
      </c>
      <c r="E12" s="18">
        <f>SUM(B12:D12)</f>
        <v>5492</v>
      </c>
      <c r="F12" s="13" t="s">
        <v>23</v>
      </c>
      <c r="G12" s="14" t="s">
        <v>24</v>
      </c>
    </row>
    <row r="13" spans="1:7" ht="15" customHeight="1" x14ac:dyDescent="0.35">
      <c r="A13" s="11" t="s">
        <v>25</v>
      </c>
      <c r="B13" s="15">
        <v>3300</v>
      </c>
      <c r="C13" s="15">
        <v>11500</v>
      </c>
      <c r="D13" s="15">
        <v>51200</v>
      </c>
      <c r="E13" s="19">
        <f>SUM(B13:D13)</f>
        <v>66000</v>
      </c>
      <c r="F13" s="13" t="s">
        <v>26</v>
      </c>
      <c r="G13" s="14" t="s">
        <v>27</v>
      </c>
    </row>
    <row r="14" spans="1:7" ht="15" customHeight="1" x14ac:dyDescent="0.35">
      <c r="A14" s="11" t="s">
        <v>28</v>
      </c>
      <c r="B14" s="20">
        <f>B13/$E13</f>
        <v>0.05</v>
      </c>
      <c r="C14" s="20">
        <f>C13/$E13</f>
        <v>0.17424242424242425</v>
      </c>
      <c r="D14" s="20">
        <f>D13/$E13</f>
        <v>0.77575757575757576</v>
      </c>
      <c r="E14" s="20">
        <f>SUM(B14:D14)</f>
        <v>1</v>
      </c>
    </row>
    <row r="15" spans="1:7" ht="15" customHeight="1" x14ac:dyDescent="0.35">
      <c r="A15" s="11" t="s">
        <v>29</v>
      </c>
      <c r="B15" s="19">
        <f>B13/B12</f>
        <v>1.064516129032258</v>
      </c>
      <c r="C15" s="19">
        <f>C13/C12</f>
        <v>6.3888888888888893</v>
      </c>
      <c r="D15" s="19">
        <f>D13/D12</f>
        <v>86.486486486486484</v>
      </c>
    </row>
    <row r="17" spans="1:7" ht="15" customHeight="1" x14ac:dyDescent="0.35">
      <c r="A17" s="9" t="s">
        <v>30</v>
      </c>
      <c r="B17" s="10"/>
      <c r="C17" s="10"/>
      <c r="D17" s="10"/>
      <c r="E17" s="10"/>
      <c r="F17" s="10"/>
      <c r="G17" s="10"/>
    </row>
    <row r="18" spans="1:7" ht="15" customHeight="1" x14ac:dyDescent="0.35">
      <c r="A18" s="11" t="s">
        <v>31</v>
      </c>
      <c r="B18" s="6" t="s">
        <v>32</v>
      </c>
      <c r="C18" s="6"/>
      <c r="D18" s="6"/>
    </row>
    <row r="20" spans="1:7" ht="15" customHeight="1" x14ac:dyDescent="0.35">
      <c r="A20" s="16" t="s">
        <v>33</v>
      </c>
      <c r="B20" s="16" t="s">
        <v>34</v>
      </c>
      <c r="C20" s="16" t="s">
        <v>35</v>
      </c>
      <c r="D20" s="16" t="s">
        <v>36</v>
      </c>
      <c r="F20" s="22" t="s">
        <v>37</v>
      </c>
      <c r="G20" s="22" t="s">
        <v>38</v>
      </c>
    </row>
    <row r="21" spans="1:7" ht="15" customHeight="1" x14ac:dyDescent="0.35">
      <c r="A21" s="23">
        <v>2026</v>
      </c>
      <c r="B21" s="24">
        <v>1E-3</v>
      </c>
      <c r="C21" s="24">
        <v>0</v>
      </c>
      <c r="D21" s="24">
        <v>0</v>
      </c>
      <c r="F21" s="13" t="s">
        <v>39</v>
      </c>
      <c r="G21" s="14" t="s">
        <v>40</v>
      </c>
    </row>
    <row r="22" spans="1:7" ht="15" customHeight="1" x14ac:dyDescent="0.35">
      <c r="A22" s="23">
        <v>2027</v>
      </c>
      <c r="B22" s="24">
        <v>5.0000000000000001E-3</v>
      </c>
      <c r="C22" s="24">
        <v>2E-3</v>
      </c>
      <c r="D22" s="24">
        <v>0</v>
      </c>
      <c r="F22" s="13" t="s">
        <v>41</v>
      </c>
      <c r="G22" s="14" t="s">
        <v>42</v>
      </c>
    </row>
    <row r="23" spans="1:7" ht="15" customHeight="1" x14ac:dyDescent="0.35">
      <c r="A23" s="23">
        <v>2028</v>
      </c>
      <c r="B23" s="24">
        <v>1.4999999999999999E-2</v>
      </c>
      <c r="C23" s="24">
        <v>5.0000000000000001E-3</v>
      </c>
      <c r="D23" s="24">
        <v>1E-3</v>
      </c>
      <c r="F23" s="13" t="s">
        <v>43</v>
      </c>
      <c r="G23" s="14" t="s">
        <v>44</v>
      </c>
    </row>
    <row r="24" spans="1:7" ht="15" customHeight="1" x14ac:dyDescent="0.35">
      <c r="A24" s="23">
        <v>2029</v>
      </c>
      <c r="B24" s="24">
        <v>3.5000000000000003E-2</v>
      </c>
      <c r="C24" s="24">
        <v>1.2E-2</v>
      </c>
      <c r="D24" s="24">
        <v>3.0000000000000001E-3</v>
      </c>
      <c r="F24" s="13" t="s">
        <v>45</v>
      </c>
      <c r="G24" s="14" t="s">
        <v>46</v>
      </c>
    </row>
    <row r="25" spans="1:7" ht="15" customHeight="1" x14ac:dyDescent="0.35">
      <c r="A25" s="23">
        <v>2030</v>
      </c>
      <c r="B25" s="24">
        <v>0.06</v>
      </c>
      <c r="C25" s="24">
        <v>2.5000000000000001E-2</v>
      </c>
      <c r="D25" s="24">
        <v>6.0000000000000001E-3</v>
      </c>
      <c r="F25" s="13" t="s">
        <v>47</v>
      </c>
      <c r="G25" s="14" t="s">
        <v>48</v>
      </c>
    </row>
    <row r="26" spans="1:7" ht="15" customHeight="1" x14ac:dyDescent="0.35">
      <c r="A26" s="23">
        <v>2031</v>
      </c>
      <c r="B26" s="24">
        <v>0.09</v>
      </c>
      <c r="C26" s="24">
        <v>0.04</v>
      </c>
      <c r="D26" s="24">
        <v>0.01</v>
      </c>
      <c r="F26" s="13" t="s">
        <v>49</v>
      </c>
      <c r="G26" s="14" t="s">
        <v>50</v>
      </c>
    </row>
    <row r="27" spans="1:7" ht="15" customHeight="1" x14ac:dyDescent="0.35">
      <c r="A27" s="23">
        <v>2032</v>
      </c>
      <c r="B27" s="24">
        <v>0.12</v>
      </c>
      <c r="C27" s="24">
        <v>0.06</v>
      </c>
      <c r="D27" s="24">
        <v>0.02</v>
      </c>
      <c r="F27" s="13" t="s">
        <v>51</v>
      </c>
      <c r="G27" s="14" t="s">
        <v>52</v>
      </c>
    </row>
    <row r="28" spans="1:7" ht="15" customHeight="1" x14ac:dyDescent="0.35">
      <c r="A28" s="23">
        <v>2033</v>
      </c>
      <c r="B28" s="24">
        <v>0.15</v>
      </c>
      <c r="C28" s="24">
        <v>0.08</v>
      </c>
      <c r="D28" s="24">
        <v>0.03</v>
      </c>
      <c r="F28" s="13" t="s">
        <v>53</v>
      </c>
      <c r="G28" s="14" t="s">
        <v>54</v>
      </c>
    </row>
    <row r="29" spans="1:7" ht="15" customHeight="1" x14ac:dyDescent="0.35">
      <c r="A29" s="23">
        <v>2034</v>
      </c>
      <c r="B29" s="24">
        <v>0.18</v>
      </c>
      <c r="C29" s="24">
        <v>0.1</v>
      </c>
      <c r="D29" s="24">
        <v>0.04</v>
      </c>
      <c r="F29" s="13" t="s">
        <v>55</v>
      </c>
      <c r="G29" s="14" t="s">
        <v>56</v>
      </c>
    </row>
    <row r="30" spans="1:7" ht="15" customHeight="1" x14ac:dyDescent="0.35">
      <c r="A30" s="23">
        <v>2035</v>
      </c>
      <c r="B30" s="24">
        <v>0.2</v>
      </c>
      <c r="C30" s="24">
        <v>0.12</v>
      </c>
      <c r="D30" s="24">
        <v>0.05</v>
      </c>
      <c r="F30" s="13" t="s">
        <v>57</v>
      </c>
      <c r="G30" s="14" t="s">
        <v>58</v>
      </c>
    </row>
    <row r="32" spans="1:7" ht="15" customHeight="1" x14ac:dyDescent="0.35">
      <c r="A32" s="9" t="s">
        <v>59</v>
      </c>
      <c r="B32" s="10"/>
      <c r="C32" s="10"/>
      <c r="D32" s="10"/>
      <c r="E32" s="10"/>
      <c r="F32" s="10"/>
      <c r="G32" s="10"/>
    </row>
    <row r="33" spans="1:7" ht="15" customHeight="1" x14ac:dyDescent="0.35">
      <c r="A33" s="11" t="s">
        <v>60</v>
      </c>
      <c r="B33" s="24">
        <v>0.05</v>
      </c>
      <c r="C33" s="21" t="s">
        <v>61</v>
      </c>
      <c r="F33" s="13" t="s">
        <v>62</v>
      </c>
      <c r="G33" s="25" t="s">
        <v>63</v>
      </c>
    </row>
  </sheetData>
  <mergeCells count="1">
    <mergeCell ref="B18:D18"/>
  </mergeCells>
  <hyperlinks>
    <hyperlink ref="G5" r:id="rId1" xr:uid="{00000000-0004-0000-0000-000000000000}"/>
    <hyperlink ref="G6" r:id="rId2" xr:uid="{00000000-0004-0000-0000-000001000000}"/>
    <hyperlink ref="G7" r:id="rId3" xr:uid="{00000000-0004-0000-0000-000002000000}"/>
    <hyperlink ref="G12" r:id="rId4" xr:uid="{00000000-0004-0000-0000-000003000000}"/>
    <hyperlink ref="G13" r:id="rId5" xr:uid="{00000000-0004-0000-0000-000004000000}"/>
    <hyperlink ref="G21" r:id="rId6" xr:uid="{00000000-0004-0000-0000-000005000000}"/>
    <hyperlink ref="G22" r:id="rId7" xr:uid="{00000000-0004-0000-0000-000006000000}"/>
    <hyperlink ref="G23" r:id="rId8" xr:uid="{00000000-0004-0000-0000-000007000000}"/>
    <hyperlink ref="G24" r:id="rId9" xr:uid="{00000000-0004-0000-0000-000008000000}"/>
    <hyperlink ref="G25" r:id="rId10" xr:uid="{00000000-0004-0000-0000-000009000000}"/>
    <hyperlink ref="G26" r:id="rId11" xr:uid="{00000000-0004-0000-0000-00000A000000}"/>
    <hyperlink ref="G27" r:id="rId12" xr:uid="{00000000-0004-0000-0000-00000B000000}"/>
    <hyperlink ref="G28" r:id="rId13" xr:uid="{00000000-0004-0000-0000-00000C000000}"/>
    <hyperlink ref="G29" r:id="rId14" xr:uid="{00000000-0004-0000-0000-00000D000000}"/>
    <hyperlink ref="G30" r:id="rId15" xr:uid="{00000000-0004-0000-0000-00000E000000}"/>
  </hyperlink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K32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328125" defaultRowHeight="14.5" x14ac:dyDescent="0.35"/>
  <cols>
    <col min="1" max="1" width="38" customWidth="1"/>
    <col min="2" max="14" width="16" customWidth="1"/>
  </cols>
  <sheetData>
    <row r="1" spans="1:11" ht="17.25" customHeight="1" x14ac:dyDescent="0.4">
      <c r="A1" s="7" t="s">
        <v>64</v>
      </c>
    </row>
    <row r="3" spans="1:11" ht="15" customHeight="1" x14ac:dyDescent="0.35">
      <c r="A3" s="26"/>
      <c r="B3" s="27">
        <v>2026</v>
      </c>
      <c r="C3" s="27">
        <v>2027</v>
      </c>
      <c r="D3" s="27">
        <v>2028</v>
      </c>
      <c r="E3" s="27">
        <v>2029</v>
      </c>
      <c r="F3" s="27">
        <v>2030</v>
      </c>
      <c r="G3" s="27">
        <v>2031</v>
      </c>
      <c r="H3" s="27">
        <v>2032</v>
      </c>
      <c r="I3" s="27">
        <v>2033</v>
      </c>
      <c r="J3" s="27">
        <v>2034</v>
      </c>
      <c r="K3" s="27">
        <v>2035</v>
      </c>
    </row>
    <row r="4" spans="1:11" ht="15" customHeight="1" x14ac:dyDescent="0.35">
      <c r="A4" s="28" t="s">
        <v>65</v>
      </c>
    </row>
    <row r="5" spans="1:11" ht="15" customHeight="1" x14ac:dyDescent="0.35">
      <c r="A5" s="11" t="s">
        <v>66</v>
      </c>
      <c r="B5" s="19">
        <f>Assumptions!B13</f>
        <v>3300</v>
      </c>
      <c r="C5" s="19">
        <f>B5*(1+Assumptions!B33)</f>
        <v>3465</v>
      </c>
      <c r="D5" s="19">
        <f>C5*(1+Assumptions!B33)</f>
        <v>3638.25</v>
      </c>
      <c r="E5" s="19">
        <f>D5*(1+Assumptions!B33)</f>
        <v>3820.1625000000004</v>
      </c>
      <c r="F5" s="19">
        <f>E5*(1+Assumptions!B33)</f>
        <v>4011.1706250000007</v>
      </c>
      <c r="G5" s="19">
        <f>F5*(1+Assumptions!B33)</f>
        <v>4211.7291562500004</v>
      </c>
      <c r="H5" s="19">
        <f>G5*(1+Assumptions!B33)</f>
        <v>4422.3156140625006</v>
      </c>
      <c r="I5" s="19">
        <f>H5*(1+Assumptions!B33)</f>
        <v>4643.4313947656256</v>
      </c>
      <c r="J5" s="19">
        <f>I5*(1+Assumptions!B33)</f>
        <v>4875.6029645039071</v>
      </c>
      <c r="K5" s="19">
        <f>J5*(1+Assumptions!B33)</f>
        <v>5119.3831127291023</v>
      </c>
    </row>
    <row r="6" spans="1:11" ht="15" customHeight="1" x14ac:dyDescent="0.35">
      <c r="A6" s="11" t="s">
        <v>67</v>
      </c>
      <c r="B6" s="19">
        <f>Assumptions!C13</f>
        <v>11500</v>
      </c>
      <c r="C6" s="19">
        <f>B6*(1+Assumptions!B33)</f>
        <v>12075</v>
      </c>
      <c r="D6" s="19">
        <f>C6*(1+Assumptions!B33)</f>
        <v>12678.75</v>
      </c>
      <c r="E6" s="19">
        <f>D6*(1+Assumptions!B33)</f>
        <v>13312.6875</v>
      </c>
      <c r="F6" s="19">
        <f>E6*(1+Assumptions!B33)</f>
        <v>13978.321875000001</v>
      </c>
      <c r="G6" s="19">
        <f>F6*(1+Assumptions!B33)</f>
        <v>14677.237968750002</v>
      </c>
      <c r="H6" s="19">
        <f>G6*(1+Assumptions!B33)</f>
        <v>15411.099867187502</v>
      </c>
      <c r="I6" s="19">
        <f>H6*(1+Assumptions!B33)</f>
        <v>16181.654860546878</v>
      </c>
      <c r="J6" s="19">
        <f>I6*(1+Assumptions!B33)</f>
        <v>16990.737603574224</v>
      </c>
      <c r="K6" s="19">
        <f>J6*(1+Assumptions!B33)</f>
        <v>17840.274483752935</v>
      </c>
    </row>
    <row r="7" spans="1:11" ht="15" customHeight="1" x14ac:dyDescent="0.35">
      <c r="A7" s="11" t="s">
        <v>68</v>
      </c>
      <c r="B7" s="19">
        <f>Assumptions!D13</f>
        <v>51200</v>
      </c>
      <c r="C7" s="19">
        <f>B7*(1+Assumptions!B33)</f>
        <v>53760</v>
      </c>
      <c r="D7" s="19">
        <f>C7*(1+Assumptions!B33)</f>
        <v>56448</v>
      </c>
      <c r="E7" s="19">
        <f>D7*(1+Assumptions!B33)</f>
        <v>59270.400000000001</v>
      </c>
      <c r="F7" s="19">
        <f>E7*(1+Assumptions!B33)</f>
        <v>62233.920000000006</v>
      </c>
      <c r="G7" s="19">
        <f>F7*(1+Assumptions!B33)</f>
        <v>65345.616000000009</v>
      </c>
      <c r="H7" s="19">
        <f>G7*(1+Assumptions!B33)</f>
        <v>68612.896800000017</v>
      </c>
      <c r="I7" s="19">
        <f>H7*(1+Assumptions!B33)</f>
        <v>72043.541640000025</v>
      </c>
      <c r="J7" s="19">
        <f>I7*(1+Assumptions!B33)</f>
        <v>75645.718722000034</v>
      </c>
      <c r="K7" s="19">
        <f>J7*(1+Assumptions!B33)</f>
        <v>79428.004658100035</v>
      </c>
    </row>
    <row r="8" spans="1:11" ht="15" customHeight="1" x14ac:dyDescent="0.35">
      <c r="A8" s="22" t="s">
        <v>8</v>
      </c>
      <c r="B8" s="29">
        <f t="shared" ref="B8:K8" si="0">SUM(B5:B7)</f>
        <v>66000</v>
      </c>
      <c r="C8" s="29">
        <f t="shared" si="0"/>
        <v>69300</v>
      </c>
      <c r="D8" s="29">
        <f t="shared" si="0"/>
        <v>72765</v>
      </c>
      <c r="E8" s="29">
        <f t="shared" si="0"/>
        <v>76403.25</v>
      </c>
      <c r="F8" s="29">
        <f t="shared" si="0"/>
        <v>80223.412500000006</v>
      </c>
      <c r="G8" s="29">
        <f t="shared" si="0"/>
        <v>84234.583125000005</v>
      </c>
      <c r="H8" s="29">
        <f t="shared" si="0"/>
        <v>88446.312281250022</v>
      </c>
      <c r="I8" s="29">
        <f t="shared" si="0"/>
        <v>92868.627895312529</v>
      </c>
      <c r="J8" s="29">
        <f t="shared" si="0"/>
        <v>97512.059290078163</v>
      </c>
      <c r="K8" s="29">
        <f t="shared" si="0"/>
        <v>102387.66225458207</v>
      </c>
    </row>
    <row r="10" spans="1:11" ht="15" customHeight="1" x14ac:dyDescent="0.35">
      <c r="A10" s="28" t="s">
        <v>69</v>
      </c>
    </row>
    <row r="11" spans="1:11" ht="15" customHeight="1" x14ac:dyDescent="0.35">
      <c r="A11" s="11" t="s">
        <v>70</v>
      </c>
      <c r="B11" s="30">
        <f>Assumptions!B21</f>
        <v>1E-3</v>
      </c>
      <c r="C11" s="30">
        <f>Assumptions!B22</f>
        <v>5.0000000000000001E-3</v>
      </c>
      <c r="D11" s="30">
        <f>Assumptions!B23</f>
        <v>1.4999999999999999E-2</v>
      </c>
      <c r="E11" s="30">
        <f>Assumptions!B24</f>
        <v>3.5000000000000003E-2</v>
      </c>
      <c r="F11" s="30">
        <f>Assumptions!B25</f>
        <v>0.06</v>
      </c>
      <c r="G11" s="30">
        <f>Assumptions!B26</f>
        <v>0.09</v>
      </c>
      <c r="H11" s="30">
        <f>Assumptions!B27</f>
        <v>0.12</v>
      </c>
      <c r="I11" s="30">
        <f>Assumptions!B28</f>
        <v>0.15</v>
      </c>
      <c r="J11" s="30">
        <f>Assumptions!B29</f>
        <v>0.18</v>
      </c>
      <c r="K11" s="30">
        <f>Assumptions!B30</f>
        <v>0.2</v>
      </c>
    </row>
    <row r="12" spans="1:11" ht="15" customHeight="1" x14ac:dyDescent="0.35">
      <c r="A12" s="11" t="s">
        <v>71</v>
      </c>
      <c r="B12" s="30">
        <f>Assumptions!C21</f>
        <v>0</v>
      </c>
      <c r="C12" s="30">
        <f>Assumptions!C22</f>
        <v>2E-3</v>
      </c>
      <c r="D12" s="30">
        <f>Assumptions!C23</f>
        <v>5.0000000000000001E-3</v>
      </c>
      <c r="E12" s="30">
        <f>Assumptions!C24</f>
        <v>1.2E-2</v>
      </c>
      <c r="F12" s="30">
        <f>Assumptions!C25</f>
        <v>2.5000000000000001E-2</v>
      </c>
      <c r="G12" s="30">
        <f>Assumptions!C26</f>
        <v>0.04</v>
      </c>
      <c r="H12" s="30">
        <f>Assumptions!C27</f>
        <v>0.06</v>
      </c>
      <c r="I12" s="30">
        <f>Assumptions!C28</f>
        <v>0.08</v>
      </c>
      <c r="J12" s="30">
        <f>Assumptions!C29</f>
        <v>0.1</v>
      </c>
      <c r="K12" s="30">
        <f>Assumptions!C30</f>
        <v>0.12</v>
      </c>
    </row>
    <row r="13" spans="1:11" ht="15" customHeight="1" x14ac:dyDescent="0.35">
      <c r="A13" s="11" t="s">
        <v>72</v>
      </c>
      <c r="B13" s="30">
        <f>Assumptions!D21</f>
        <v>0</v>
      </c>
      <c r="C13" s="30">
        <f>Assumptions!D22</f>
        <v>0</v>
      </c>
      <c r="D13" s="30">
        <f>Assumptions!D23</f>
        <v>1E-3</v>
      </c>
      <c r="E13" s="30">
        <f>Assumptions!D24</f>
        <v>3.0000000000000001E-3</v>
      </c>
      <c r="F13" s="30">
        <f>Assumptions!D25</f>
        <v>6.0000000000000001E-3</v>
      </c>
      <c r="G13" s="30">
        <f>Assumptions!D26</f>
        <v>0.01</v>
      </c>
      <c r="H13" s="30">
        <f>Assumptions!D27</f>
        <v>0.02</v>
      </c>
      <c r="I13" s="30">
        <f>Assumptions!D28</f>
        <v>0.03</v>
      </c>
      <c r="J13" s="30">
        <f>Assumptions!D29</f>
        <v>0.04</v>
      </c>
      <c r="K13" s="30">
        <f>Assumptions!D30</f>
        <v>0.05</v>
      </c>
    </row>
    <row r="15" spans="1:11" ht="15" customHeight="1" x14ac:dyDescent="0.35">
      <c r="A15" s="28" t="s">
        <v>73</v>
      </c>
    </row>
    <row r="16" spans="1:11" ht="15" customHeight="1" x14ac:dyDescent="0.35">
      <c r="A16" s="11" t="s">
        <v>74</v>
      </c>
      <c r="B16" s="19">
        <f t="shared" ref="B16:K16" si="1">B5*B11</f>
        <v>3.3000000000000003</v>
      </c>
      <c r="C16" s="19">
        <f t="shared" si="1"/>
        <v>17.324999999999999</v>
      </c>
      <c r="D16" s="19">
        <f t="shared" si="1"/>
        <v>54.573749999999997</v>
      </c>
      <c r="E16" s="19">
        <f t="shared" si="1"/>
        <v>133.70568750000004</v>
      </c>
      <c r="F16" s="19">
        <f t="shared" si="1"/>
        <v>240.67023750000004</v>
      </c>
      <c r="G16" s="19">
        <f t="shared" si="1"/>
        <v>379.05562406250004</v>
      </c>
      <c r="H16" s="19">
        <f t="shared" si="1"/>
        <v>530.6778736875001</v>
      </c>
      <c r="I16" s="19">
        <f t="shared" si="1"/>
        <v>696.51470921484383</v>
      </c>
      <c r="J16" s="19">
        <f t="shared" si="1"/>
        <v>877.60853361070326</v>
      </c>
      <c r="K16" s="19">
        <f t="shared" si="1"/>
        <v>1023.8766225458205</v>
      </c>
    </row>
    <row r="17" spans="1:11" ht="15" customHeight="1" x14ac:dyDescent="0.35">
      <c r="A17" s="11" t="s">
        <v>75</v>
      </c>
      <c r="B17" s="19">
        <f t="shared" ref="B17:K17" si="2">B6*B12</f>
        <v>0</v>
      </c>
      <c r="C17" s="19">
        <f t="shared" si="2"/>
        <v>24.150000000000002</v>
      </c>
      <c r="D17" s="19">
        <f t="shared" si="2"/>
        <v>63.393750000000004</v>
      </c>
      <c r="E17" s="19">
        <f t="shared" si="2"/>
        <v>159.75225</v>
      </c>
      <c r="F17" s="19">
        <f t="shared" si="2"/>
        <v>349.45804687500004</v>
      </c>
      <c r="G17" s="19">
        <f t="shared" si="2"/>
        <v>587.08951875000002</v>
      </c>
      <c r="H17" s="19">
        <f t="shared" si="2"/>
        <v>924.66599203125008</v>
      </c>
      <c r="I17" s="19">
        <f t="shared" si="2"/>
        <v>1294.5323888437504</v>
      </c>
      <c r="J17" s="19">
        <f t="shared" si="2"/>
        <v>1699.0737603574225</v>
      </c>
      <c r="K17" s="19">
        <f t="shared" si="2"/>
        <v>2140.8329380503524</v>
      </c>
    </row>
    <row r="18" spans="1:11" ht="15" customHeight="1" x14ac:dyDescent="0.35">
      <c r="A18" s="11" t="s">
        <v>76</v>
      </c>
      <c r="B18" s="19">
        <f t="shared" ref="B18:K18" si="3">B7*B13</f>
        <v>0</v>
      </c>
      <c r="C18" s="19">
        <f t="shared" si="3"/>
        <v>0</v>
      </c>
      <c r="D18" s="19">
        <f t="shared" si="3"/>
        <v>56.448</v>
      </c>
      <c r="E18" s="19">
        <f t="shared" si="3"/>
        <v>177.81120000000001</v>
      </c>
      <c r="F18" s="19">
        <f t="shared" si="3"/>
        <v>373.40352000000001</v>
      </c>
      <c r="G18" s="19">
        <f t="shared" si="3"/>
        <v>653.45616000000007</v>
      </c>
      <c r="H18" s="19">
        <f t="shared" si="3"/>
        <v>1372.2579360000004</v>
      </c>
      <c r="I18" s="19">
        <f t="shared" si="3"/>
        <v>2161.3062492000008</v>
      </c>
      <c r="J18" s="19">
        <f t="shared" si="3"/>
        <v>3025.8287488800015</v>
      </c>
      <c r="K18" s="19">
        <f t="shared" si="3"/>
        <v>3971.4002329050018</v>
      </c>
    </row>
    <row r="20" spans="1:11" ht="15" customHeight="1" x14ac:dyDescent="0.35">
      <c r="A20" s="8" t="s">
        <v>77</v>
      </c>
      <c r="B20" s="31">
        <f t="shared" ref="B20:K20" si="4">SUM(B16:B18)</f>
        <v>3.3000000000000003</v>
      </c>
      <c r="C20" s="31">
        <f t="shared" si="4"/>
        <v>41.475000000000001</v>
      </c>
      <c r="D20" s="31">
        <f t="shared" si="4"/>
        <v>174.41550000000001</v>
      </c>
      <c r="E20" s="31">
        <f t="shared" si="4"/>
        <v>471.26913750000006</v>
      </c>
      <c r="F20" s="31">
        <f t="shared" si="4"/>
        <v>963.53180437500009</v>
      </c>
      <c r="G20" s="31">
        <f t="shared" si="4"/>
        <v>1619.6013028125003</v>
      </c>
      <c r="H20" s="31">
        <f t="shared" si="4"/>
        <v>2827.6018017187507</v>
      </c>
      <c r="I20" s="31">
        <f t="shared" si="4"/>
        <v>4152.353347258595</v>
      </c>
      <c r="J20" s="31">
        <f t="shared" si="4"/>
        <v>5602.5110428481275</v>
      </c>
      <c r="K20" s="31">
        <f t="shared" si="4"/>
        <v>7136.1097935011749</v>
      </c>
    </row>
    <row r="21" spans="1:11" ht="15" customHeight="1" x14ac:dyDescent="0.35">
      <c r="A21" s="11" t="s">
        <v>78</v>
      </c>
      <c r="B21" s="20">
        <f t="shared" ref="B21:K21" si="5">B20/B8</f>
        <v>5.0000000000000002E-5</v>
      </c>
      <c r="C21" s="20">
        <f t="shared" si="5"/>
        <v>5.984848484848485E-4</v>
      </c>
      <c r="D21" s="20">
        <f t="shared" si="5"/>
        <v>2.3969696969696969E-3</v>
      </c>
      <c r="E21" s="20">
        <f t="shared" si="5"/>
        <v>6.1681818181818192E-3</v>
      </c>
      <c r="F21" s="20">
        <f t="shared" si="5"/>
        <v>1.201060606060606E-2</v>
      </c>
      <c r="G21" s="20">
        <f t="shared" si="5"/>
        <v>1.9227272727272728E-2</v>
      </c>
      <c r="H21" s="20">
        <f t="shared" si="5"/>
        <v>3.1969696969696967E-2</v>
      </c>
      <c r="I21" s="20">
        <f t="shared" si="5"/>
        <v>4.471212121212121E-2</v>
      </c>
      <c r="J21" s="20">
        <f t="shared" si="5"/>
        <v>5.745454545454546E-2</v>
      </c>
      <c r="K21" s="20">
        <f t="shared" si="5"/>
        <v>6.9696969696969702E-2</v>
      </c>
    </row>
    <row r="23" spans="1:11" ht="15" customHeight="1" x14ac:dyDescent="0.35">
      <c r="A23" s="28" t="s">
        <v>79</v>
      </c>
    </row>
    <row r="24" spans="1:11" ht="15" customHeight="1" x14ac:dyDescent="0.35">
      <c r="A24" s="11" t="s">
        <v>80</v>
      </c>
      <c r="B24" s="20">
        <f t="shared" ref="B24:K24" si="6">IF(B20=0,0,B16/B20)</f>
        <v>1</v>
      </c>
      <c r="C24" s="20">
        <f t="shared" si="6"/>
        <v>0.41772151898734172</v>
      </c>
      <c r="D24" s="20">
        <f t="shared" si="6"/>
        <v>0.31289506953223761</v>
      </c>
      <c r="E24" s="20">
        <f t="shared" si="6"/>
        <v>0.28371407516580699</v>
      </c>
      <c r="F24" s="20">
        <f t="shared" si="6"/>
        <v>0.24977923552415796</v>
      </c>
      <c r="G24" s="20">
        <f t="shared" si="6"/>
        <v>0.23404255319148934</v>
      </c>
      <c r="H24" s="20">
        <f t="shared" si="6"/>
        <v>0.18767772511848341</v>
      </c>
      <c r="I24" s="20">
        <f t="shared" si="6"/>
        <v>0.16773974923754656</v>
      </c>
      <c r="J24" s="20">
        <f t="shared" si="6"/>
        <v>0.15664556962025311</v>
      </c>
      <c r="K24" s="20">
        <f t="shared" si="6"/>
        <v>0.14347826086956519</v>
      </c>
    </row>
    <row r="25" spans="1:11" ht="15" customHeight="1" x14ac:dyDescent="0.35">
      <c r="A25" s="11" t="s">
        <v>81</v>
      </c>
      <c r="B25" s="20">
        <f t="shared" ref="B25:K25" si="7">IF(B20=0,0,B17/B20)</f>
        <v>0</v>
      </c>
      <c r="C25" s="20">
        <f t="shared" si="7"/>
        <v>0.58227848101265822</v>
      </c>
      <c r="D25" s="20">
        <f t="shared" si="7"/>
        <v>0.36346396965865996</v>
      </c>
      <c r="E25" s="20">
        <f t="shared" si="7"/>
        <v>0.33898305084745761</v>
      </c>
      <c r="F25" s="20">
        <f t="shared" si="7"/>
        <v>0.36268449602623942</v>
      </c>
      <c r="G25" s="20">
        <f t="shared" si="7"/>
        <v>0.36249014972419225</v>
      </c>
      <c r="H25" s="20">
        <f t="shared" si="7"/>
        <v>0.32701421800947861</v>
      </c>
      <c r="I25" s="20">
        <f t="shared" si="7"/>
        <v>0.31175872585564213</v>
      </c>
      <c r="J25" s="20">
        <f t="shared" si="7"/>
        <v>0.30327004219409281</v>
      </c>
      <c r="K25" s="20">
        <f t="shared" si="7"/>
        <v>0.3</v>
      </c>
    </row>
    <row r="26" spans="1:11" ht="15" customHeight="1" x14ac:dyDescent="0.35">
      <c r="A26" s="11" t="s">
        <v>82</v>
      </c>
      <c r="B26" s="20">
        <f t="shared" ref="B26:K26" si="8">IF(B20=0,0,B18/B20)</f>
        <v>0</v>
      </c>
      <c r="C26" s="20">
        <f t="shared" si="8"/>
        <v>0</v>
      </c>
      <c r="D26" s="20">
        <f t="shared" si="8"/>
        <v>0.32364096080910237</v>
      </c>
      <c r="E26" s="20">
        <f t="shared" si="8"/>
        <v>0.37730287398673545</v>
      </c>
      <c r="F26" s="20">
        <f t="shared" si="8"/>
        <v>0.38753626844960259</v>
      </c>
      <c r="G26" s="20">
        <f t="shared" si="8"/>
        <v>0.40346729708431833</v>
      </c>
      <c r="H26" s="20">
        <f t="shared" si="8"/>
        <v>0.48530805687203793</v>
      </c>
      <c r="I26" s="20">
        <f t="shared" si="8"/>
        <v>0.52050152490681134</v>
      </c>
      <c r="J26" s="20">
        <f t="shared" si="8"/>
        <v>0.54008438818565407</v>
      </c>
      <c r="K26" s="20">
        <f t="shared" si="8"/>
        <v>0.55652173913043479</v>
      </c>
    </row>
    <row r="28" spans="1:11" ht="15" customHeight="1" x14ac:dyDescent="0.35">
      <c r="A28" s="28" t="s">
        <v>83</v>
      </c>
    </row>
    <row r="29" spans="1:11" ht="15" customHeight="1" x14ac:dyDescent="0.35">
      <c r="A29" s="11" t="s">
        <v>84</v>
      </c>
      <c r="B29" s="18">
        <f>Assumptions!B12*Assumptions!B21</f>
        <v>3.1</v>
      </c>
      <c r="C29" s="18">
        <f>Assumptions!B12*Assumptions!B22</f>
        <v>15.5</v>
      </c>
      <c r="D29" s="18">
        <f>Assumptions!B12*Assumptions!B23</f>
        <v>46.5</v>
      </c>
      <c r="E29" s="18">
        <f>Assumptions!B12*Assumptions!B24</f>
        <v>108.50000000000001</v>
      </c>
      <c r="F29" s="18">
        <f>Assumptions!B12*Assumptions!B25</f>
        <v>186</v>
      </c>
      <c r="G29" s="18">
        <f>Assumptions!B12*Assumptions!B26</f>
        <v>279</v>
      </c>
      <c r="H29" s="18">
        <f>Assumptions!B12*Assumptions!B27</f>
        <v>372</v>
      </c>
      <c r="I29" s="18">
        <f>Assumptions!B12*Assumptions!B28</f>
        <v>465</v>
      </c>
      <c r="J29" s="18">
        <f>Assumptions!B12*Assumptions!B29</f>
        <v>558</v>
      </c>
      <c r="K29" s="18">
        <f>Assumptions!B12*Assumptions!B30</f>
        <v>620</v>
      </c>
    </row>
    <row r="30" spans="1:11" ht="15" customHeight="1" x14ac:dyDescent="0.35">
      <c r="A30" s="11" t="s">
        <v>85</v>
      </c>
      <c r="B30" s="18">
        <f>Assumptions!C12*Assumptions!C21</f>
        <v>0</v>
      </c>
      <c r="C30" s="18">
        <f>Assumptions!C12*Assumptions!C22</f>
        <v>3.6</v>
      </c>
      <c r="D30" s="18">
        <f>Assumptions!C12*Assumptions!C23</f>
        <v>9</v>
      </c>
      <c r="E30" s="18">
        <f>Assumptions!C12*Assumptions!C24</f>
        <v>21.6</v>
      </c>
      <c r="F30" s="18">
        <f>Assumptions!C12*Assumptions!C25</f>
        <v>45</v>
      </c>
      <c r="G30" s="18">
        <f>Assumptions!C12*Assumptions!C26</f>
        <v>72</v>
      </c>
      <c r="H30" s="18">
        <f>Assumptions!C12*Assumptions!C27</f>
        <v>108</v>
      </c>
      <c r="I30" s="18">
        <f>Assumptions!C12*Assumptions!C28</f>
        <v>144</v>
      </c>
      <c r="J30" s="18">
        <f>Assumptions!C12*Assumptions!C29</f>
        <v>180</v>
      </c>
      <c r="K30" s="18">
        <f>Assumptions!C12*Assumptions!C30</f>
        <v>216</v>
      </c>
    </row>
    <row r="31" spans="1:11" ht="15" customHeight="1" x14ac:dyDescent="0.35">
      <c r="A31" s="11" t="s">
        <v>86</v>
      </c>
      <c r="B31" s="18">
        <f>Assumptions!D12*Assumptions!D21</f>
        <v>0</v>
      </c>
      <c r="C31" s="18">
        <f>Assumptions!D12*Assumptions!D22</f>
        <v>0</v>
      </c>
      <c r="D31" s="18">
        <f>Assumptions!D12*Assumptions!D23</f>
        <v>0.59199999999999997</v>
      </c>
      <c r="E31" s="18">
        <f>Assumptions!D12*Assumptions!D24</f>
        <v>1.776</v>
      </c>
      <c r="F31" s="18">
        <f>Assumptions!D12*Assumptions!D25</f>
        <v>3.552</v>
      </c>
      <c r="G31" s="18">
        <f>Assumptions!D12*Assumptions!D26</f>
        <v>5.92</v>
      </c>
      <c r="H31" s="18">
        <f>Assumptions!D12*Assumptions!D27</f>
        <v>11.84</v>
      </c>
      <c r="I31" s="18">
        <f>Assumptions!D12*Assumptions!D28</f>
        <v>17.759999999999998</v>
      </c>
      <c r="J31" s="18">
        <f>Assumptions!D12*Assumptions!D29</f>
        <v>23.68</v>
      </c>
      <c r="K31" s="18">
        <f>Assumptions!D12*Assumptions!D30</f>
        <v>29.6</v>
      </c>
    </row>
    <row r="32" spans="1:11" ht="15" customHeight="1" x14ac:dyDescent="0.35">
      <c r="A32" s="22" t="s">
        <v>87</v>
      </c>
      <c r="B32" s="32">
        <f t="shared" ref="B32:K32" si="9">SUM(B29:B31)</f>
        <v>3.1</v>
      </c>
      <c r="C32" s="32">
        <f t="shared" si="9"/>
        <v>19.100000000000001</v>
      </c>
      <c r="D32" s="32">
        <f t="shared" si="9"/>
        <v>56.091999999999999</v>
      </c>
      <c r="E32" s="32">
        <f t="shared" si="9"/>
        <v>131.87600000000003</v>
      </c>
      <c r="F32" s="32">
        <f t="shared" si="9"/>
        <v>234.55199999999999</v>
      </c>
      <c r="G32" s="32">
        <f t="shared" si="9"/>
        <v>356.92</v>
      </c>
      <c r="H32" s="32">
        <f t="shared" si="9"/>
        <v>491.84</v>
      </c>
      <c r="I32" s="32">
        <f t="shared" si="9"/>
        <v>626.76</v>
      </c>
      <c r="J32" s="32">
        <f t="shared" si="9"/>
        <v>761.68</v>
      </c>
      <c r="K32" s="32">
        <f t="shared" si="9"/>
        <v>865.6</v>
      </c>
    </row>
  </sheetData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N98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328125" defaultRowHeight="14.5" x14ac:dyDescent="0.35"/>
  <cols>
    <col min="1" max="1" width="42" customWidth="1"/>
    <col min="2" max="2" width="18" customWidth="1"/>
    <col min="3" max="13" width="15" customWidth="1"/>
    <col min="14" max="14" width="80" customWidth="1"/>
  </cols>
  <sheetData>
    <row r="1" spans="1:14" ht="17.25" customHeight="1" x14ac:dyDescent="0.4">
      <c r="A1" s="7" t="s">
        <v>88</v>
      </c>
    </row>
    <row r="2" spans="1:14" ht="15" customHeight="1" x14ac:dyDescent="0.35">
      <c r="A2" s="33" t="s">
        <v>89</v>
      </c>
    </row>
    <row r="4" spans="1:14" ht="15" customHeight="1" x14ac:dyDescent="0.35">
      <c r="A4" s="9"/>
      <c r="B4" s="34" t="s">
        <v>90</v>
      </c>
      <c r="C4" s="35">
        <v>2026</v>
      </c>
      <c r="D4" s="35">
        <v>2027</v>
      </c>
      <c r="E4" s="35">
        <v>2028</v>
      </c>
      <c r="F4" s="35">
        <v>2029</v>
      </c>
      <c r="G4" s="35">
        <v>2030</v>
      </c>
      <c r="H4" s="35">
        <v>2031</v>
      </c>
      <c r="I4" s="35">
        <v>2032</v>
      </c>
      <c r="J4" s="35">
        <v>2033</v>
      </c>
      <c r="K4" s="35">
        <v>2034</v>
      </c>
      <c r="L4" s="35">
        <v>2035</v>
      </c>
      <c r="M4" s="34" t="s">
        <v>37</v>
      </c>
      <c r="N4" s="34" t="s">
        <v>91</v>
      </c>
    </row>
    <row r="5" spans="1:14" ht="15" customHeight="1" x14ac:dyDescent="0.35">
      <c r="A5" s="28" t="s">
        <v>92</v>
      </c>
    </row>
    <row r="6" spans="1:14" ht="15" customHeight="1" x14ac:dyDescent="0.35">
      <c r="A6" s="11" t="s">
        <v>93</v>
      </c>
      <c r="C6" s="36">
        <f>Projection!B20</f>
        <v>3.3000000000000003</v>
      </c>
      <c r="D6" s="36">
        <f>Projection!C20</f>
        <v>41.475000000000001</v>
      </c>
      <c r="E6" s="36">
        <f>Projection!D20</f>
        <v>174.41550000000001</v>
      </c>
      <c r="F6" s="36">
        <f>Projection!E20</f>
        <v>471.26913750000006</v>
      </c>
      <c r="G6" s="36">
        <f>Projection!F20</f>
        <v>963.53180437500009</v>
      </c>
      <c r="H6" s="36">
        <f>Projection!G20</f>
        <v>1619.6013028125003</v>
      </c>
      <c r="I6" s="36">
        <f>Projection!H20</f>
        <v>2827.6018017187507</v>
      </c>
      <c r="J6" s="36">
        <f>Projection!I20</f>
        <v>4152.353347258595</v>
      </c>
      <c r="K6" s="36">
        <f>Projection!J20</f>
        <v>5602.5110428481275</v>
      </c>
      <c r="L6" s="36">
        <f>Projection!K20</f>
        <v>7136.1097935011749</v>
      </c>
    </row>
    <row r="7" spans="1:14" ht="15" customHeight="1" x14ac:dyDescent="0.35">
      <c r="A7" s="11" t="s">
        <v>94</v>
      </c>
      <c r="C7" s="37">
        <f t="shared" ref="C7:L7" si="0">C6*1000</f>
        <v>3300.0000000000005</v>
      </c>
      <c r="D7" s="37">
        <f t="shared" si="0"/>
        <v>41475</v>
      </c>
      <c r="E7" s="37">
        <f t="shared" si="0"/>
        <v>174415.5</v>
      </c>
      <c r="F7" s="37">
        <f t="shared" si="0"/>
        <v>471269.13750000007</v>
      </c>
      <c r="G7" s="37">
        <f t="shared" si="0"/>
        <v>963531.80437500007</v>
      </c>
      <c r="H7" s="37">
        <f t="shared" si="0"/>
        <v>1619601.3028125004</v>
      </c>
      <c r="I7" s="37">
        <f t="shared" si="0"/>
        <v>2827601.8017187505</v>
      </c>
      <c r="J7" s="37">
        <f t="shared" si="0"/>
        <v>4152353.3472585948</v>
      </c>
      <c r="K7" s="37">
        <f t="shared" si="0"/>
        <v>5602511.0428481279</v>
      </c>
      <c r="L7" s="37">
        <f t="shared" si="0"/>
        <v>7136109.793501175</v>
      </c>
      <c r="M7" s="13" t="s">
        <v>95</v>
      </c>
    </row>
    <row r="9" spans="1:14" ht="15" customHeight="1" x14ac:dyDescent="0.35">
      <c r="A9" s="38" t="s">
        <v>96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</row>
    <row r="10" spans="1:14" ht="15" customHeight="1" x14ac:dyDescent="0.35">
      <c r="A10" s="11" t="s">
        <v>97</v>
      </c>
      <c r="C10" s="40">
        <v>0.8</v>
      </c>
      <c r="D10" s="40">
        <v>1</v>
      </c>
      <c r="E10" s="40">
        <v>1.2</v>
      </c>
      <c r="F10" s="40">
        <v>1.4</v>
      </c>
      <c r="G10" s="40">
        <v>1.6</v>
      </c>
      <c r="H10" s="40">
        <v>1.8</v>
      </c>
      <c r="I10" s="40">
        <v>2</v>
      </c>
      <c r="J10" s="40">
        <v>2.2000000000000002</v>
      </c>
      <c r="K10" s="40">
        <v>2.4</v>
      </c>
      <c r="L10" s="40">
        <v>2.5</v>
      </c>
      <c r="M10" s="13" t="s">
        <v>98</v>
      </c>
      <c r="N10" s="14" t="s">
        <v>27</v>
      </c>
    </row>
    <row r="11" spans="1:14" ht="15" customHeight="1" x14ac:dyDescent="0.35">
      <c r="A11" s="11" t="s">
        <v>99</v>
      </c>
      <c r="C11" s="37">
        <f t="shared" ref="C11:L11" si="1">C7*C10</f>
        <v>2640.0000000000005</v>
      </c>
      <c r="D11" s="37">
        <f t="shared" si="1"/>
        <v>41475</v>
      </c>
      <c r="E11" s="37">
        <f t="shared" si="1"/>
        <v>209298.6</v>
      </c>
      <c r="F11" s="37">
        <f t="shared" si="1"/>
        <v>659776.7925000001</v>
      </c>
      <c r="G11" s="37">
        <f t="shared" si="1"/>
        <v>1541650.8870000001</v>
      </c>
      <c r="H11" s="37">
        <f t="shared" si="1"/>
        <v>2915282.3450625008</v>
      </c>
      <c r="I11" s="37">
        <f t="shared" si="1"/>
        <v>5655203.603437501</v>
      </c>
      <c r="J11" s="37">
        <f t="shared" si="1"/>
        <v>9135177.3639689088</v>
      </c>
      <c r="K11" s="37">
        <f t="shared" si="1"/>
        <v>13446026.502835507</v>
      </c>
      <c r="L11" s="37">
        <f t="shared" si="1"/>
        <v>17840274.483752936</v>
      </c>
    </row>
    <row r="12" spans="1:14" ht="15" customHeight="1" x14ac:dyDescent="0.35">
      <c r="A12" s="11" t="s">
        <v>100</v>
      </c>
      <c r="C12" s="40">
        <v>8</v>
      </c>
      <c r="D12" s="40">
        <v>7</v>
      </c>
      <c r="E12" s="40">
        <v>6</v>
      </c>
      <c r="F12" s="40">
        <v>5.5</v>
      </c>
      <c r="G12" s="40">
        <v>5</v>
      </c>
      <c r="H12" s="40">
        <v>4.5</v>
      </c>
      <c r="I12" s="40">
        <v>4</v>
      </c>
      <c r="J12" s="40">
        <v>3.5</v>
      </c>
      <c r="K12" s="40">
        <v>3</v>
      </c>
      <c r="L12" s="40">
        <v>2.5</v>
      </c>
      <c r="M12" s="13" t="s">
        <v>101</v>
      </c>
      <c r="N12" s="14" t="s">
        <v>12</v>
      </c>
    </row>
    <row r="13" spans="1:14" ht="15" customHeight="1" x14ac:dyDescent="0.35">
      <c r="A13" s="22" t="s">
        <v>102</v>
      </c>
      <c r="C13" s="41">
        <f t="shared" ref="C13:L13" si="2">C11*C12/10000</f>
        <v>2.1120000000000005</v>
      </c>
      <c r="D13" s="41">
        <f t="shared" si="2"/>
        <v>29.032499999999999</v>
      </c>
      <c r="E13" s="41">
        <f t="shared" si="2"/>
        <v>125.57916000000002</v>
      </c>
      <c r="F13" s="41">
        <f t="shared" si="2"/>
        <v>362.87723587500005</v>
      </c>
      <c r="G13" s="41">
        <f t="shared" si="2"/>
        <v>770.82544350000001</v>
      </c>
      <c r="H13" s="41">
        <f t="shared" si="2"/>
        <v>1311.8770552781255</v>
      </c>
      <c r="I13" s="41">
        <f t="shared" si="2"/>
        <v>2262.0814413750004</v>
      </c>
      <c r="J13" s="41">
        <f t="shared" si="2"/>
        <v>3197.3120773891183</v>
      </c>
      <c r="K13" s="41">
        <f t="shared" si="2"/>
        <v>4033.8079508506521</v>
      </c>
      <c r="L13" s="41">
        <f t="shared" si="2"/>
        <v>4460.0686209382338</v>
      </c>
    </row>
    <row r="15" spans="1:14" ht="15" customHeight="1" x14ac:dyDescent="0.35">
      <c r="A15" s="38" t="s">
        <v>103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</row>
    <row r="16" spans="1:14" ht="15" customHeight="1" x14ac:dyDescent="0.35">
      <c r="A16" s="11" t="s">
        <v>104</v>
      </c>
      <c r="C16" s="24">
        <v>0.05</v>
      </c>
      <c r="D16" s="24">
        <v>0.08</v>
      </c>
      <c r="E16" s="24">
        <v>0.1</v>
      </c>
      <c r="F16" s="24">
        <v>0.12</v>
      </c>
      <c r="G16" s="24">
        <v>0.14000000000000001</v>
      </c>
      <c r="H16" s="24">
        <v>0.15</v>
      </c>
      <c r="I16" s="24">
        <v>0.16</v>
      </c>
      <c r="J16" s="24">
        <v>0.17</v>
      </c>
      <c r="K16" s="24">
        <v>0.18</v>
      </c>
      <c r="L16" s="24">
        <v>0.2</v>
      </c>
      <c r="M16" s="13" t="s">
        <v>105</v>
      </c>
      <c r="N16" s="14" t="s">
        <v>106</v>
      </c>
    </row>
    <row r="17" spans="1:14" ht="15" customHeight="1" x14ac:dyDescent="0.35">
      <c r="A17" s="11" t="s">
        <v>107</v>
      </c>
      <c r="C17" s="37">
        <f t="shared" ref="C17:L17" si="3">C7*C16</f>
        <v>165.00000000000003</v>
      </c>
      <c r="D17" s="37">
        <f t="shared" si="3"/>
        <v>3318</v>
      </c>
      <c r="E17" s="37">
        <f t="shared" si="3"/>
        <v>17441.55</v>
      </c>
      <c r="F17" s="37">
        <f t="shared" si="3"/>
        <v>56552.296500000004</v>
      </c>
      <c r="G17" s="37">
        <f t="shared" si="3"/>
        <v>134894.45261250003</v>
      </c>
      <c r="H17" s="37">
        <f t="shared" si="3"/>
        <v>242940.19542187505</v>
      </c>
      <c r="I17" s="37">
        <f t="shared" si="3"/>
        <v>452416.28827500012</v>
      </c>
      <c r="J17" s="37">
        <f t="shared" si="3"/>
        <v>705900.06903396116</v>
      </c>
      <c r="K17" s="37">
        <f t="shared" si="3"/>
        <v>1008451.987712663</v>
      </c>
      <c r="L17" s="37">
        <f t="shared" si="3"/>
        <v>1427221.958700235</v>
      </c>
    </row>
    <row r="18" spans="1:14" ht="15" customHeight="1" x14ac:dyDescent="0.35">
      <c r="A18" s="11" t="s">
        <v>108</v>
      </c>
      <c r="C18" s="24">
        <v>0.15</v>
      </c>
      <c r="D18" s="24">
        <v>0.18</v>
      </c>
      <c r="E18" s="24">
        <v>0.22</v>
      </c>
      <c r="F18" s="24">
        <v>0.25</v>
      </c>
      <c r="G18" s="24">
        <v>0.28000000000000003</v>
      </c>
      <c r="H18" s="24">
        <v>0.3</v>
      </c>
      <c r="I18" s="24">
        <v>0.32</v>
      </c>
      <c r="J18" s="24">
        <v>0.33</v>
      </c>
      <c r="K18" s="24">
        <v>0.34</v>
      </c>
      <c r="L18" s="24">
        <v>0.35</v>
      </c>
      <c r="M18" s="13" t="s">
        <v>109</v>
      </c>
      <c r="N18" s="14" t="s">
        <v>106</v>
      </c>
    </row>
    <row r="19" spans="1:14" ht="15" customHeight="1" x14ac:dyDescent="0.35">
      <c r="A19" s="11" t="s">
        <v>110</v>
      </c>
      <c r="C19" s="37">
        <f t="shared" ref="C19:L19" si="4">C17*C18</f>
        <v>24.750000000000004</v>
      </c>
      <c r="D19" s="37">
        <f t="shared" si="4"/>
        <v>597.24</v>
      </c>
      <c r="E19" s="37">
        <f t="shared" si="4"/>
        <v>3837.1410000000001</v>
      </c>
      <c r="F19" s="37">
        <f t="shared" si="4"/>
        <v>14138.074125000001</v>
      </c>
      <c r="G19" s="37">
        <f t="shared" si="4"/>
        <v>37770.446731500007</v>
      </c>
      <c r="H19" s="37">
        <f t="shared" si="4"/>
        <v>72882.058626562517</v>
      </c>
      <c r="I19" s="37">
        <f t="shared" si="4"/>
        <v>144773.21224800005</v>
      </c>
      <c r="J19" s="37">
        <f t="shared" si="4"/>
        <v>232947.0227812072</v>
      </c>
      <c r="K19" s="37">
        <f t="shared" si="4"/>
        <v>342873.67582230543</v>
      </c>
      <c r="L19" s="37">
        <f t="shared" si="4"/>
        <v>499527.6855450822</v>
      </c>
    </row>
    <row r="20" spans="1:14" ht="15" customHeight="1" x14ac:dyDescent="0.35">
      <c r="A20" s="11" t="s">
        <v>111</v>
      </c>
      <c r="C20" s="42">
        <v>50</v>
      </c>
      <c r="D20" s="42">
        <v>45</v>
      </c>
      <c r="E20" s="42">
        <v>40</v>
      </c>
      <c r="F20" s="42">
        <v>38</v>
      </c>
      <c r="G20" s="42">
        <v>35</v>
      </c>
      <c r="H20" s="42">
        <v>32</v>
      </c>
      <c r="I20" s="42">
        <v>30</v>
      </c>
      <c r="J20" s="42">
        <v>28</v>
      </c>
      <c r="K20" s="42">
        <v>26</v>
      </c>
      <c r="L20" s="42">
        <v>25</v>
      </c>
      <c r="M20" s="13" t="s">
        <v>112</v>
      </c>
      <c r="N20" s="14" t="s">
        <v>106</v>
      </c>
    </row>
    <row r="21" spans="1:14" ht="15" customHeight="1" x14ac:dyDescent="0.35">
      <c r="A21" s="11" t="s">
        <v>113</v>
      </c>
      <c r="C21" s="37">
        <f t="shared" ref="C21:L21" si="5">C19*C20/10000</f>
        <v>0.12375000000000003</v>
      </c>
      <c r="D21" s="37">
        <f t="shared" si="5"/>
        <v>2.6875800000000001</v>
      </c>
      <c r="E21" s="37">
        <f t="shared" si="5"/>
        <v>15.348564000000001</v>
      </c>
      <c r="F21" s="37">
        <f t="shared" si="5"/>
        <v>53.724681674999999</v>
      </c>
      <c r="G21" s="37">
        <f t="shared" si="5"/>
        <v>132.19656356025004</v>
      </c>
      <c r="H21" s="37">
        <f t="shared" si="5"/>
        <v>233.22258760500006</v>
      </c>
      <c r="I21" s="37">
        <f t="shared" si="5"/>
        <v>434.31963674400021</v>
      </c>
      <c r="J21" s="37">
        <f t="shared" si="5"/>
        <v>652.25166378738015</v>
      </c>
      <c r="K21" s="37">
        <f t="shared" si="5"/>
        <v>891.47155713799407</v>
      </c>
      <c r="L21" s="37">
        <f t="shared" si="5"/>
        <v>1248.8192138627055</v>
      </c>
    </row>
    <row r="22" spans="1:14" ht="15" customHeight="1" x14ac:dyDescent="0.35">
      <c r="A22" s="11" t="s">
        <v>114</v>
      </c>
      <c r="C22" s="24">
        <v>0.35</v>
      </c>
      <c r="D22" s="24">
        <v>0.33</v>
      </c>
      <c r="E22" s="24">
        <v>0.3</v>
      </c>
      <c r="F22" s="24">
        <v>0.28000000000000003</v>
      </c>
      <c r="G22" s="24">
        <v>0.27</v>
      </c>
      <c r="H22" s="24">
        <v>0.25</v>
      </c>
      <c r="I22" s="24">
        <v>0.24</v>
      </c>
      <c r="J22" s="24">
        <v>0.23</v>
      </c>
      <c r="K22" s="24">
        <v>0.22</v>
      </c>
      <c r="L22" s="24">
        <v>0.2</v>
      </c>
      <c r="M22" s="13" t="s">
        <v>115</v>
      </c>
      <c r="N22" s="25" t="s">
        <v>116</v>
      </c>
    </row>
    <row r="23" spans="1:14" ht="15" customHeight="1" x14ac:dyDescent="0.35">
      <c r="A23" s="22" t="s">
        <v>117</v>
      </c>
      <c r="C23" s="41">
        <f t="shared" ref="C23:L23" si="6">C21*C22</f>
        <v>4.3312500000000004E-2</v>
      </c>
      <c r="D23" s="41">
        <f t="shared" si="6"/>
        <v>0.88690140000000006</v>
      </c>
      <c r="E23" s="41">
        <f t="shared" si="6"/>
        <v>4.6045692000000003</v>
      </c>
      <c r="F23" s="41">
        <f t="shared" si="6"/>
        <v>15.042910869000002</v>
      </c>
      <c r="G23" s="41">
        <f t="shared" si="6"/>
        <v>35.693072161267516</v>
      </c>
      <c r="H23" s="41">
        <f t="shared" si="6"/>
        <v>58.305646901250014</v>
      </c>
      <c r="I23" s="41">
        <f t="shared" si="6"/>
        <v>104.23671281856005</v>
      </c>
      <c r="J23" s="41">
        <f t="shared" si="6"/>
        <v>150.01788267109745</v>
      </c>
      <c r="K23" s="41">
        <f t="shared" si="6"/>
        <v>196.1237425703587</v>
      </c>
      <c r="L23" s="41">
        <f t="shared" si="6"/>
        <v>249.76384277254112</v>
      </c>
    </row>
    <row r="25" spans="1:14" ht="15" customHeight="1" x14ac:dyDescent="0.35">
      <c r="A25" s="38" t="s">
        <v>118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</row>
    <row r="26" spans="1:14" ht="15" customHeight="1" x14ac:dyDescent="0.35">
      <c r="A26" s="11" t="s">
        <v>119</v>
      </c>
      <c r="C26" s="24">
        <v>0.3</v>
      </c>
      <c r="D26" s="24">
        <v>0.35</v>
      </c>
      <c r="E26" s="24">
        <v>0.4</v>
      </c>
      <c r="F26" s="24">
        <v>0.45</v>
      </c>
      <c r="G26" s="24">
        <v>0.5</v>
      </c>
      <c r="H26" s="24">
        <v>0.55000000000000004</v>
      </c>
      <c r="I26" s="24">
        <v>0.57999999999999996</v>
      </c>
      <c r="J26" s="24">
        <v>0.6</v>
      </c>
      <c r="K26" s="24">
        <v>0.62</v>
      </c>
      <c r="L26" s="24">
        <v>0.65</v>
      </c>
      <c r="M26" s="13" t="s">
        <v>120</v>
      </c>
      <c r="N26" s="14" t="s">
        <v>121</v>
      </c>
    </row>
    <row r="27" spans="1:14" ht="15" customHeight="1" x14ac:dyDescent="0.35">
      <c r="A27" s="11" t="s">
        <v>122</v>
      </c>
      <c r="C27" s="37">
        <f t="shared" ref="C27:L27" si="7">C7*C26</f>
        <v>990.00000000000011</v>
      </c>
      <c r="D27" s="37">
        <f t="shared" si="7"/>
        <v>14516.249999999998</v>
      </c>
      <c r="E27" s="37">
        <f t="shared" si="7"/>
        <v>69766.2</v>
      </c>
      <c r="F27" s="37">
        <f t="shared" si="7"/>
        <v>212071.11187500003</v>
      </c>
      <c r="G27" s="37">
        <f t="shared" si="7"/>
        <v>481765.90218750003</v>
      </c>
      <c r="H27" s="37">
        <f t="shared" si="7"/>
        <v>890780.71654687531</v>
      </c>
      <c r="I27" s="37">
        <f t="shared" si="7"/>
        <v>1640009.0449968751</v>
      </c>
      <c r="J27" s="37">
        <f t="shared" si="7"/>
        <v>2491412.008355157</v>
      </c>
      <c r="K27" s="37">
        <f t="shared" si="7"/>
        <v>3473556.8465658394</v>
      </c>
      <c r="L27" s="37">
        <f t="shared" si="7"/>
        <v>4638471.365775764</v>
      </c>
    </row>
    <row r="28" spans="1:14" ht="15" customHeight="1" x14ac:dyDescent="0.35">
      <c r="A28" s="11" t="s">
        <v>123</v>
      </c>
      <c r="C28" s="40">
        <v>12</v>
      </c>
      <c r="D28" s="40">
        <v>11</v>
      </c>
      <c r="E28" s="40">
        <v>10</v>
      </c>
      <c r="F28" s="40">
        <v>9</v>
      </c>
      <c r="G28" s="40">
        <v>8</v>
      </c>
      <c r="H28" s="40">
        <v>7</v>
      </c>
      <c r="I28" s="40">
        <v>6.5</v>
      </c>
      <c r="J28" s="40">
        <v>6</v>
      </c>
      <c r="K28" s="40">
        <v>5.5</v>
      </c>
      <c r="L28" s="40">
        <v>5</v>
      </c>
      <c r="M28" s="13" t="s">
        <v>124</v>
      </c>
      <c r="N28" s="14" t="s">
        <v>125</v>
      </c>
    </row>
    <row r="29" spans="1:14" ht="15" customHeight="1" x14ac:dyDescent="0.35">
      <c r="A29" s="22" t="s">
        <v>126</v>
      </c>
      <c r="C29" s="41">
        <f t="shared" ref="C29:L29" si="8">C27*C28/10000</f>
        <v>1.1880000000000002</v>
      </c>
      <c r="D29" s="41">
        <f t="shared" si="8"/>
        <v>15.967874999999998</v>
      </c>
      <c r="E29" s="41">
        <f t="shared" si="8"/>
        <v>69.766199999999998</v>
      </c>
      <c r="F29" s="41">
        <f t="shared" si="8"/>
        <v>190.86400068750001</v>
      </c>
      <c r="G29" s="41">
        <f t="shared" si="8"/>
        <v>385.41272175</v>
      </c>
      <c r="H29" s="41">
        <f t="shared" si="8"/>
        <v>623.54650158281265</v>
      </c>
      <c r="I29" s="41">
        <f t="shared" si="8"/>
        <v>1066.0058792479688</v>
      </c>
      <c r="J29" s="41">
        <f t="shared" si="8"/>
        <v>1494.847205013094</v>
      </c>
      <c r="K29" s="41">
        <f t="shared" si="8"/>
        <v>1910.4562656112116</v>
      </c>
      <c r="L29" s="41">
        <f t="shared" si="8"/>
        <v>2319.2356828878819</v>
      </c>
    </row>
    <row r="31" spans="1:14" ht="15" customHeight="1" x14ac:dyDescent="0.35">
      <c r="A31" s="38" t="s">
        <v>127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</row>
    <row r="32" spans="1:14" ht="15" customHeight="1" x14ac:dyDescent="0.35">
      <c r="A32" s="11" t="s">
        <v>128</v>
      </c>
      <c r="C32" s="43">
        <f>Projection!B32</f>
        <v>3.1</v>
      </c>
      <c r="D32" s="43">
        <f>Projection!C32-Projection!B32</f>
        <v>16</v>
      </c>
      <c r="E32" s="43">
        <f>Projection!D32-Projection!C32</f>
        <v>36.991999999999997</v>
      </c>
      <c r="F32" s="43">
        <f>Projection!E32-Projection!D32</f>
        <v>75.784000000000034</v>
      </c>
      <c r="G32" s="43">
        <f>Projection!F32-Projection!E32</f>
        <v>102.67599999999996</v>
      </c>
      <c r="H32" s="43">
        <f>Projection!G32-Projection!F32</f>
        <v>122.36800000000002</v>
      </c>
      <c r="I32" s="43">
        <f>Projection!H32-Projection!G32</f>
        <v>134.91999999999996</v>
      </c>
      <c r="J32" s="43">
        <f>Projection!I32-Projection!H32</f>
        <v>134.92000000000002</v>
      </c>
      <c r="K32" s="43">
        <f>Projection!J32-Projection!I32</f>
        <v>134.91999999999996</v>
      </c>
      <c r="L32" s="43">
        <f>Projection!K32-Projection!J32</f>
        <v>103.92000000000007</v>
      </c>
      <c r="M32" s="13" t="s">
        <v>129</v>
      </c>
    </row>
    <row r="33" spans="1:14" ht="15" customHeight="1" x14ac:dyDescent="0.35">
      <c r="A33" s="11" t="s">
        <v>130</v>
      </c>
      <c r="C33" s="44">
        <v>500</v>
      </c>
      <c r="D33" s="44">
        <v>450</v>
      </c>
      <c r="E33" s="44">
        <v>400</v>
      </c>
      <c r="F33" s="44">
        <v>375</v>
      </c>
      <c r="G33" s="44">
        <v>350</v>
      </c>
      <c r="H33" s="44">
        <v>325</v>
      </c>
      <c r="I33" s="44">
        <v>300</v>
      </c>
      <c r="J33" s="44">
        <v>275</v>
      </c>
      <c r="K33" s="44">
        <v>250</v>
      </c>
      <c r="L33" s="44">
        <v>225</v>
      </c>
      <c r="M33" s="13" t="s">
        <v>131</v>
      </c>
      <c r="N33" s="14" t="s">
        <v>27</v>
      </c>
    </row>
    <row r="34" spans="1:14" ht="15" customHeight="1" x14ac:dyDescent="0.35">
      <c r="A34" s="11" t="s">
        <v>132</v>
      </c>
      <c r="C34" s="37">
        <f t="shared" ref="C34:L34" si="9">C32*C33/1000</f>
        <v>1.55</v>
      </c>
      <c r="D34" s="37">
        <f t="shared" si="9"/>
        <v>7.2</v>
      </c>
      <c r="E34" s="37">
        <f t="shared" si="9"/>
        <v>14.796799999999999</v>
      </c>
      <c r="F34" s="37">
        <f t="shared" si="9"/>
        <v>28.419000000000015</v>
      </c>
      <c r="G34" s="37">
        <f t="shared" si="9"/>
        <v>35.936599999999984</v>
      </c>
      <c r="H34" s="37">
        <f t="shared" si="9"/>
        <v>39.769600000000004</v>
      </c>
      <c r="I34" s="37">
        <f t="shared" si="9"/>
        <v>40.475999999999985</v>
      </c>
      <c r="J34" s="37">
        <f t="shared" si="9"/>
        <v>37.103000000000009</v>
      </c>
      <c r="K34" s="37">
        <f t="shared" si="9"/>
        <v>33.72999999999999</v>
      </c>
      <c r="L34" s="37">
        <f t="shared" si="9"/>
        <v>23.382000000000016</v>
      </c>
    </row>
    <row r="35" spans="1:14" ht="15" customHeight="1" x14ac:dyDescent="0.35">
      <c r="A35" s="11" t="s">
        <v>133</v>
      </c>
      <c r="C35" s="44">
        <v>150</v>
      </c>
      <c r="D35" s="44">
        <v>145</v>
      </c>
      <c r="E35" s="44">
        <v>140</v>
      </c>
      <c r="F35" s="44">
        <v>135</v>
      </c>
      <c r="G35" s="44">
        <v>130</v>
      </c>
      <c r="H35" s="44">
        <v>125</v>
      </c>
      <c r="I35" s="44">
        <v>120</v>
      </c>
      <c r="J35" s="44">
        <v>115</v>
      </c>
      <c r="K35" s="44">
        <v>110</v>
      </c>
      <c r="L35" s="44">
        <v>100</v>
      </c>
      <c r="M35" s="13" t="s">
        <v>134</v>
      </c>
      <c r="N35" s="25" t="s">
        <v>135</v>
      </c>
    </row>
    <row r="36" spans="1:14" ht="15" customHeight="1" x14ac:dyDescent="0.35">
      <c r="A36" s="11" t="s">
        <v>136</v>
      </c>
      <c r="C36" s="43">
        <f>Projection!B32</f>
        <v>3.1</v>
      </c>
      <c r="D36" s="43">
        <f>Projection!C32</f>
        <v>19.100000000000001</v>
      </c>
      <c r="E36" s="43">
        <f>Projection!D32</f>
        <v>56.091999999999999</v>
      </c>
      <c r="F36" s="43">
        <f>Projection!E32</f>
        <v>131.87600000000003</v>
      </c>
      <c r="G36" s="43">
        <f>Projection!F32</f>
        <v>234.55199999999999</v>
      </c>
      <c r="H36" s="43">
        <f>Projection!G32</f>
        <v>356.92</v>
      </c>
      <c r="I36" s="43">
        <f>Projection!H32</f>
        <v>491.84</v>
      </c>
      <c r="J36" s="43">
        <f>Projection!I32</f>
        <v>626.76</v>
      </c>
      <c r="K36" s="43">
        <f>Projection!J32</f>
        <v>761.68</v>
      </c>
      <c r="L36" s="43">
        <f>Projection!K32</f>
        <v>865.6</v>
      </c>
    </row>
    <row r="37" spans="1:14" ht="15" customHeight="1" x14ac:dyDescent="0.35">
      <c r="A37" s="11" t="s">
        <v>137</v>
      </c>
      <c r="C37" s="37">
        <f t="shared" ref="C37:L37" si="10">C36*C35/1000</f>
        <v>0.46500000000000002</v>
      </c>
      <c r="D37" s="37">
        <f t="shared" si="10"/>
        <v>2.7694999999999999</v>
      </c>
      <c r="E37" s="37">
        <f t="shared" si="10"/>
        <v>7.8528799999999999</v>
      </c>
      <c r="F37" s="37">
        <f t="shared" si="10"/>
        <v>17.803260000000005</v>
      </c>
      <c r="G37" s="37">
        <f t="shared" si="10"/>
        <v>30.491759999999999</v>
      </c>
      <c r="H37" s="37">
        <f t="shared" si="10"/>
        <v>44.615000000000002</v>
      </c>
      <c r="I37" s="37">
        <f t="shared" si="10"/>
        <v>59.020799999999994</v>
      </c>
      <c r="J37" s="37">
        <f t="shared" si="10"/>
        <v>72.077399999999997</v>
      </c>
      <c r="K37" s="37">
        <f t="shared" si="10"/>
        <v>83.78479999999999</v>
      </c>
      <c r="L37" s="37">
        <f t="shared" si="10"/>
        <v>86.56</v>
      </c>
    </row>
    <row r="38" spans="1:14" ht="15" customHeight="1" x14ac:dyDescent="0.35">
      <c r="A38" s="22" t="s">
        <v>138</v>
      </c>
      <c r="C38" s="41">
        <f t="shared" ref="C38:L38" si="11">C34+C37</f>
        <v>2.0150000000000001</v>
      </c>
      <c r="D38" s="41">
        <f t="shared" si="11"/>
        <v>9.9695</v>
      </c>
      <c r="E38" s="41">
        <f t="shared" si="11"/>
        <v>22.64968</v>
      </c>
      <c r="F38" s="41">
        <f t="shared" si="11"/>
        <v>46.22226000000002</v>
      </c>
      <c r="G38" s="41">
        <f t="shared" si="11"/>
        <v>66.428359999999984</v>
      </c>
      <c r="H38" s="41">
        <f t="shared" si="11"/>
        <v>84.384600000000006</v>
      </c>
      <c r="I38" s="41">
        <f t="shared" si="11"/>
        <v>99.496799999999979</v>
      </c>
      <c r="J38" s="41">
        <f t="shared" si="11"/>
        <v>109.18040000000001</v>
      </c>
      <c r="K38" s="41">
        <f t="shared" si="11"/>
        <v>117.51479999999998</v>
      </c>
      <c r="L38" s="41">
        <f t="shared" si="11"/>
        <v>109.94200000000002</v>
      </c>
    </row>
    <row r="40" spans="1:14" ht="15" customHeight="1" x14ac:dyDescent="0.35">
      <c r="A40" s="38" t="s">
        <v>139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</row>
    <row r="41" spans="1:14" ht="15" customHeight="1" x14ac:dyDescent="0.35">
      <c r="A41" s="11" t="s">
        <v>140</v>
      </c>
      <c r="C41" s="24">
        <v>0.1</v>
      </c>
      <c r="D41" s="24">
        <v>0.12</v>
      </c>
      <c r="E41" s="24">
        <v>0.14000000000000001</v>
      </c>
      <c r="F41" s="24">
        <v>0.15</v>
      </c>
      <c r="G41" s="24">
        <v>0.16</v>
      </c>
      <c r="H41" s="24">
        <v>0.17</v>
      </c>
      <c r="I41" s="24">
        <v>0.18</v>
      </c>
      <c r="J41" s="24">
        <v>0.19</v>
      </c>
      <c r="K41" s="24">
        <v>0.2</v>
      </c>
      <c r="L41" s="24">
        <v>0.2</v>
      </c>
      <c r="M41" s="13" t="s">
        <v>141</v>
      </c>
      <c r="N41" s="14" t="s">
        <v>142</v>
      </c>
    </row>
    <row r="42" spans="1:14" ht="15" customHeight="1" x14ac:dyDescent="0.35">
      <c r="A42" s="22" t="s">
        <v>143</v>
      </c>
      <c r="C42" s="41">
        <f t="shared" ref="C42:L42" si="12">C13*C41</f>
        <v>0.21120000000000005</v>
      </c>
      <c r="D42" s="41">
        <f t="shared" si="12"/>
        <v>3.4838999999999998</v>
      </c>
      <c r="E42" s="41">
        <f t="shared" si="12"/>
        <v>17.581082400000003</v>
      </c>
      <c r="F42" s="41">
        <f t="shared" si="12"/>
        <v>54.431585381250009</v>
      </c>
      <c r="G42" s="41">
        <f t="shared" si="12"/>
        <v>123.33207096000001</v>
      </c>
      <c r="H42" s="41">
        <f t="shared" si="12"/>
        <v>223.01909939728134</v>
      </c>
      <c r="I42" s="41">
        <f t="shared" si="12"/>
        <v>407.17465944750006</v>
      </c>
      <c r="J42" s="41">
        <f t="shared" si="12"/>
        <v>607.4892947039325</v>
      </c>
      <c r="K42" s="41">
        <f t="shared" si="12"/>
        <v>806.76159017013049</v>
      </c>
      <c r="L42" s="41">
        <f t="shared" si="12"/>
        <v>892.01372418764686</v>
      </c>
    </row>
    <row r="44" spans="1:14" ht="15" customHeight="1" x14ac:dyDescent="0.35">
      <c r="A44" s="38" t="s">
        <v>144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</row>
    <row r="45" spans="1:14" ht="15" customHeight="1" x14ac:dyDescent="0.35">
      <c r="A45" s="11" t="s">
        <v>145</v>
      </c>
      <c r="C45" s="45">
        <f t="shared" ref="C45:L45" si="13">C11/C46</f>
        <v>0.52800000000000014</v>
      </c>
      <c r="D45" s="45">
        <f t="shared" si="13"/>
        <v>5.1843750000000002</v>
      </c>
      <c r="E45" s="45">
        <f t="shared" si="13"/>
        <v>20.929860000000001</v>
      </c>
      <c r="F45" s="45">
        <f t="shared" si="13"/>
        <v>54.981399375000009</v>
      </c>
      <c r="G45" s="45">
        <f t="shared" si="13"/>
        <v>102.77672580000001</v>
      </c>
      <c r="H45" s="45">
        <f t="shared" si="13"/>
        <v>161.96013028125003</v>
      </c>
      <c r="I45" s="45">
        <f t="shared" si="13"/>
        <v>257.05470924715911</v>
      </c>
      <c r="J45" s="45">
        <f t="shared" si="13"/>
        <v>326.25633442746101</v>
      </c>
      <c r="K45" s="45">
        <f t="shared" si="13"/>
        <v>384.17218579530021</v>
      </c>
      <c r="L45" s="45">
        <f t="shared" si="13"/>
        <v>424.76844008935564</v>
      </c>
    </row>
    <row r="46" spans="1:14" ht="15" customHeight="1" x14ac:dyDescent="0.35">
      <c r="A46" s="11" t="s">
        <v>146</v>
      </c>
      <c r="C46" s="44">
        <v>5000</v>
      </c>
      <c r="D46" s="44">
        <v>8000</v>
      </c>
      <c r="E46" s="44">
        <v>10000</v>
      </c>
      <c r="F46" s="44">
        <v>12000</v>
      </c>
      <c r="G46" s="44">
        <v>15000</v>
      </c>
      <c r="H46" s="44">
        <v>18000</v>
      </c>
      <c r="I46" s="44">
        <v>22000</v>
      </c>
      <c r="J46" s="44">
        <v>28000</v>
      </c>
      <c r="K46" s="44">
        <v>35000</v>
      </c>
      <c r="L46" s="44">
        <v>42000</v>
      </c>
      <c r="M46" s="13" t="s">
        <v>147</v>
      </c>
      <c r="N46" s="14" t="s">
        <v>148</v>
      </c>
    </row>
    <row r="47" spans="1:14" ht="15" customHeight="1" x14ac:dyDescent="0.35">
      <c r="A47" s="11" t="s">
        <v>149</v>
      </c>
      <c r="C47" s="46">
        <v>0.1</v>
      </c>
      <c r="D47" s="46">
        <v>0.09</v>
      </c>
      <c r="E47" s="46">
        <v>0.08</v>
      </c>
      <c r="F47" s="46">
        <v>7.0000000000000007E-2</v>
      </c>
      <c r="G47" s="46">
        <v>0.06</v>
      </c>
      <c r="H47" s="46">
        <v>0.05</v>
      </c>
      <c r="I47" s="46">
        <v>0.05</v>
      </c>
      <c r="J47" s="46">
        <v>0.04</v>
      </c>
      <c r="K47" s="46">
        <v>0.04</v>
      </c>
      <c r="L47" s="46">
        <v>0.03</v>
      </c>
      <c r="M47" s="13" t="s">
        <v>150</v>
      </c>
      <c r="N47" s="14" t="s">
        <v>40</v>
      </c>
    </row>
    <row r="48" spans="1:14" ht="15" customHeight="1" x14ac:dyDescent="0.35">
      <c r="A48" s="22" t="s">
        <v>151</v>
      </c>
      <c r="C48" s="41">
        <f t="shared" ref="C48:L48" si="14">C45*C47</f>
        <v>5.2800000000000014E-2</v>
      </c>
      <c r="D48" s="41">
        <f t="shared" si="14"/>
        <v>0.46659374999999997</v>
      </c>
      <c r="E48" s="41">
        <f t="shared" si="14"/>
        <v>1.6743888000000002</v>
      </c>
      <c r="F48" s="41">
        <f t="shared" si="14"/>
        <v>3.848697956250001</v>
      </c>
      <c r="G48" s="41">
        <f t="shared" si="14"/>
        <v>6.1666035480000003</v>
      </c>
      <c r="H48" s="41">
        <f t="shared" si="14"/>
        <v>8.0980065140625026</v>
      </c>
      <c r="I48" s="41">
        <f t="shared" si="14"/>
        <v>12.852735462357955</v>
      </c>
      <c r="J48" s="41">
        <f t="shared" si="14"/>
        <v>13.050253377098441</v>
      </c>
      <c r="K48" s="41">
        <f t="shared" si="14"/>
        <v>15.366887431812009</v>
      </c>
      <c r="L48" s="41">
        <f t="shared" si="14"/>
        <v>12.743053202680668</v>
      </c>
    </row>
    <row r="50" spans="1:13" ht="15" customHeight="1" x14ac:dyDescent="0.35">
      <c r="A50" s="47" t="s">
        <v>152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</row>
    <row r="51" spans="1:13" ht="15" customHeight="1" x14ac:dyDescent="0.35">
      <c r="A51" s="11" t="s">
        <v>153</v>
      </c>
      <c r="C51" s="37">
        <f t="shared" ref="C51:L51" si="15">C13</f>
        <v>2.1120000000000005</v>
      </c>
      <c r="D51" s="37">
        <f t="shared" si="15"/>
        <v>29.032499999999999</v>
      </c>
      <c r="E51" s="37">
        <f t="shared" si="15"/>
        <v>125.57916000000002</v>
      </c>
      <c r="F51" s="37">
        <f t="shared" si="15"/>
        <v>362.87723587500005</v>
      </c>
      <c r="G51" s="37">
        <f t="shared" si="15"/>
        <v>770.82544350000001</v>
      </c>
      <c r="H51" s="37">
        <f t="shared" si="15"/>
        <v>1311.8770552781255</v>
      </c>
      <c r="I51" s="37">
        <f t="shared" si="15"/>
        <v>2262.0814413750004</v>
      </c>
      <c r="J51" s="37">
        <f t="shared" si="15"/>
        <v>3197.3120773891183</v>
      </c>
      <c r="K51" s="37">
        <f t="shared" si="15"/>
        <v>4033.8079508506521</v>
      </c>
      <c r="L51" s="37">
        <f t="shared" si="15"/>
        <v>4460.0686209382338</v>
      </c>
    </row>
    <row r="52" spans="1:13" ht="15" customHeight="1" x14ac:dyDescent="0.35">
      <c r="A52" s="11" t="s">
        <v>154</v>
      </c>
      <c r="C52" s="37">
        <f t="shared" ref="C52:L52" si="16">C23</f>
        <v>4.3312500000000004E-2</v>
      </c>
      <c r="D52" s="37">
        <f t="shared" si="16"/>
        <v>0.88690140000000006</v>
      </c>
      <c r="E52" s="37">
        <f t="shared" si="16"/>
        <v>4.6045692000000003</v>
      </c>
      <c r="F52" s="37">
        <f t="shared" si="16"/>
        <v>15.042910869000002</v>
      </c>
      <c r="G52" s="37">
        <f t="shared" si="16"/>
        <v>35.693072161267516</v>
      </c>
      <c r="H52" s="37">
        <f t="shared" si="16"/>
        <v>58.305646901250014</v>
      </c>
      <c r="I52" s="37">
        <f t="shared" si="16"/>
        <v>104.23671281856005</v>
      </c>
      <c r="J52" s="37">
        <f t="shared" si="16"/>
        <v>150.01788267109745</v>
      </c>
      <c r="K52" s="37">
        <f t="shared" si="16"/>
        <v>196.1237425703587</v>
      </c>
      <c r="L52" s="37">
        <f t="shared" si="16"/>
        <v>249.76384277254112</v>
      </c>
    </row>
    <row r="53" spans="1:13" ht="15" customHeight="1" x14ac:dyDescent="0.35">
      <c r="A53" s="11" t="s">
        <v>155</v>
      </c>
      <c r="C53" s="37">
        <f t="shared" ref="C53:L53" si="17">C29</f>
        <v>1.1880000000000002</v>
      </c>
      <c r="D53" s="37">
        <f t="shared" si="17"/>
        <v>15.967874999999998</v>
      </c>
      <c r="E53" s="37">
        <f t="shared" si="17"/>
        <v>69.766199999999998</v>
      </c>
      <c r="F53" s="37">
        <f t="shared" si="17"/>
        <v>190.86400068750001</v>
      </c>
      <c r="G53" s="37">
        <f t="shared" si="17"/>
        <v>385.41272175</v>
      </c>
      <c r="H53" s="37">
        <f t="shared" si="17"/>
        <v>623.54650158281265</v>
      </c>
      <c r="I53" s="37">
        <f t="shared" si="17"/>
        <v>1066.0058792479688</v>
      </c>
      <c r="J53" s="37">
        <f t="shared" si="17"/>
        <v>1494.847205013094</v>
      </c>
      <c r="K53" s="37">
        <f t="shared" si="17"/>
        <v>1910.4562656112116</v>
      </c>
      <c r="L53" s="37">
        <f t="shared" si="17"/>
        <v>2319.2356828878819</v>
      </c>
    </row>
    <row r="54" spans="1:13" ht="15" customHeight="1" x14ac:dyDescent="0.35">
      <c r="A54" s="11" t="s">
        <v>156</v>
      </c>
      <c r="C54" s="37">
        <f t="shared" ref="C54:L54" si="18">C38</f>
        <v>2.0150000000000001</v>
      </c>
      <c r="D54" s="37">
        <f t="shared" si="18"/>
        <v>9.9695</v>
      </c>
      <c r="E54" s="37">
        <f t="shared" si="18"/>
        <v>22.64968</v>
      </c>
      <c r="F54" s="37">
        <f t="shared" si="18"/>
        <v>46.22226000000002</v>
      </c>
      <c r="G54" s="37">
        <f t="shared" si="18"/>
        <v>66.428359999999984</v>
      </c>
      <c r="H54" s="37">
        <f t="shared" si="18"/>
        <v>84.384600000000006</v>
      </c>
      <c r="I54" s="37">
        <f t="shared" si="18"/>
        <v>99.496799999999979</v>
      </c>
      <c r="J54" s="37">
        <f t="shared" si="18"/>
        <v>109.18040000000001</v>
      </c>
      <c r="K54" s="37">
        <f t="shared" si="18"/>
        <v>117.51479999999998</v>
      </c>
      <c r="L54" s="37">
        <f t="shared" si="18"/>
        <v>109.94200000000002</v>
      </c>
    </row>
    <row r="55" spans="1:13" ht="15" customHeight="1" x14ac:dyDescent="0.35">
      <c r="A55" s="11" t="s">
        <v>157</v>
      </c>
      <c r="C55" s="37">
        <f t="shared" ref="C55:L55" si="19">C42</f>
        <v>0.21120000000000005</v>
      </c>
      <c r="D55" s="37">
        <f t="shared" si="19"/>
        <v>3.4838999999999998</v>
      </c>
      <c r="E55" s="37">
        <f t="shared" si="19"/>
        <v>17.581082400000003</v>
      </c>
      <c r="F55" s="37">
        <f t="shared" si="19"/>
        <v>54.431585381250009</v>
      </c>
      <c r="G55" s="37">
        <f t="shared" si="19"/>
        <v>123.33207096000001</v>
      </c>
      <c r="H55" s="37">
        <f t="shared" si="19"/>
        <v>223.01909939728134</v>
      </c>
      <c r="I55" s="37">
        <f t="shared" si="19"/>
        <v>407.17465944750006</v>
      </c>
      <c r="J55" s="37">
        <f t="shared" si="19"/>
        <v>607.4892947039325</v>
      </c>
      <c r="K55" s="37">
        <f t="shared" si="19"/>
        <v>806.76159017013049</v>
      </c>
      <c r="L55" s="37">
        <f t="shared" si="19"/>
        <v>892.01372418764686</v>
      </c>
    </row>
    <row r="56" spans="1:13" ht="15" customHeight="1" x14ac:dyDescent="0.35">
      <c r="A56" s="11" t="s">
        <v>158</v>
      </c>
      <c r="C56" s="37">
        <f t="shared" ref="C56:L56" si="20">C48</f>
        <v>5.2800000000000014E-2</v>
      </c>
      <c r="D56" s="37">
        <f t="shared" si="20"/>
        <v>0.46659374999999997</v>
      </c>
      <c r="E56" s="37">
        <f t="shared" si="20"/>
        <v>1.6743888000000002</v>
      </c>
      <c r="F56" s="37">
        <f t="shared" si="20"/>
        <v>3.848697956250001</v>
      </c>
      <c r="G56" s="37">
        <f t="shared" si="20"/>
        <v>6.1666035480000003</v>
      </c>
      <c r="H56" s="37">
        <f t="shared" si="20"/>
        <v>8.0980065140625026</v>
      </c>
      <c r="I56" s="37">
        <f t="shared" si="20"/>
        <v>12.852735462357955</v>
      </c>
      <c r="J56" s="37">
        <f t="shared" si="20"/>
        <v>13.050253377098441</v>
      </c>
      <c r="K56" s="37">
        <f t="shared" si="20"/>
        <v>15.366887431812009</v>
      </c>
      <c r="L56" s="37">
        <f t="shared" si="20"/>
        <v>12.743053202680668</v>
      </c>
    </row>
    <row r="57" spans="1:13" ht="15" customHeight="1" x14ac:dyDescent="0.35">
      <c r="A57" s="49" t="s">
        <v>159</v>
      </c>
      <c r="C57" s="50">
        <f t="shared" ref="C57:L57" si="21">SUM(C51:C56)</f>
        <v>5.6223125000000005</v>
      </c>
      <c r="D57" s="50">
        <f t="shared" si="21"/>
        <v>59.807270150000001</v>
      </c>
      <c r="E57" s="50">
        <f t="shared" si="21"/>
        <v>241.85508040000002</v>
      </c>
      <c r="F57" s="50">
        <f t="shared" si="21"/>
        <v>673.28669076900007</v>
      </c>
      <c r="G57" s="50">
        <f t="shared" si="21"/>
        <v>1387.8582719192675</v>
      </c>
      <c r="H57" s="50">
        <f t="shared" si="21"/>
        <v>2309.2309096735321</v>
      </c>
      <c r="I57" s="50">
        <f t="shared" si="21"/>
        <v>3951.8482283513872</v>
      </c>
      <c r="J57" s="50">
        <f t="shared" si="21"/>
        <v>5571.8971131543412</v>
      </c>
      <c r="K57" s="50">
        <f t="shared" si="21"/>
        <v>7080.031236634165</v>
      </c>
      <c r="L57" s="50">
        <f t="shared" si="21"/>
        <v>8043.7669239889856</v>
      </c>
    </row>
    <row r="58" spans="1:13" ht="15" customHeight="1" x14ac:dyDescent="0.35">
      <c r="A58" s="11" t="s">
        <v>160</v>
      </c>
      <c r="C58" s="19">
        <f t="shared" ref="C58:L58" si="22">C57/1000</f>
        <v>5.6223125000000006E-3</v>
      </c>
      <c r="D58" s="19">
        <f t="shared" si="22"/>
        <v>5.9807270150000001E-2</v>
      </c>
      <c r="E58" s="19">
        <f t="shared" si="22"/>
        <v>0.24185508040000003</v>
      </c>
      <c r="F58" s="19">
        <f t="shared" si="22"/>
        <v>0.67328669076900005</v>
      </c>
      <c r="G58" s="19">
        <f t="shared" si="22"/>
        <v>1.3878582719192676</v>
      </c>
      <c r="H58" s="19">
        <f t="shared" si="22"/>
        <v>2.309230909673532</v>
      </c>
      <c r="I58" s="19">
        <f t="shared" si="22"/>
        <v>3.9518482283513872</v>
      </c>
      <c r="J58" s="19">
        <f t="shared" si="22"/>
        <v>5.5718971131543409</v>
      </c>
      <c r="K58" s="19">
        <f t="shared" si="22"/>
        <v>7.0800312366341647</v>
      </c>
      <c r="L58" s="19">
        <f t="shared" si="22"/>
        <v>8.0437669239889864</v>
      </c>
    </row>
    <row r="60" spans="1:13" ht="15" customHeight="1" x14ac:dyDescent="0.35">
      <c r="A60" s="51" t="s">
        <v>161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</row>
    <row r="61" spans="1:13" ht="15" customHeight="1" x14ac:dyDescent="0.35">
      <c r="A61" s="11" t="s">
        <v>162</v>
      </c>
      <c r="C61" s="20">
        <f t="shared" ref="C61:L61" si="23">IF(C57=0,0,C51/C57)</f>
        <v>0.37564614204564412</v>
      </c>
      <c r="D61" s="20">
        <f t="shared" si="23"/>
        <v>0.4854342946465347</v>
      </c>
      <c r="E61" s="20">
        <f t="shared" si="23"/>
        <v>0.51923308698873216</v>
      </c>
      <c r="F61" s="20">
        <f t="shared" si="23"/>
        <v>0.53896392257588932</v>
      </c>
      <c r="G61" s="20">
        <f t="shared" si="23"/>
        <v>0.55540645546899137</v>
      </c>
      <c r="H61" s="20">
        <f t="shared" si="23"/>
        <v>0.5681012885210307</v>
      </c>
      <c r="I61" s="20">
        <f t="shared" si="23"/>
        <v>0.57241101142153039</v>
      </c>
      <c r="J61" s="20">
        <f t="shared" si="23"/>
        <v>0.57382826934129583</v>
      </c>
      <c r="K61" s="20">
        <f t="shared" si="23"/>
        <v>0.56974437202742023</v>
      </c>
      <c r="L61" s="20">
        <f t="shared" si="23"/>
        <v>0.55447511881988254</v>
      </c>
    </row>
    <row r="62" spans="1:13" ht="15" customHeight="1" x14ac:dyDescent="0.35">
      <c r="A62" s="11" t="s">
        <v>163</v>
      </c>
      <c r="C62" s="20">
        <f t="shared" ref="C62:L62" si="24">IF(C57=0,0,C52/C57)</f>
        <v>7.7036806474204342E-3</v>
      </c>
      <c r="D62" s="20">
        <f t="shared" si="24"/>
        <v>1.4829324223887856E-2</v>
      </c>
      <c r="E62" s="20">
        <f t="shared" si="24"/>
        <v>1.9038546522920176E-2</v>
      </c>
      <c r="F62" s="20">
        <f t="shared" si="24"/>
        <v>2.2342504426782317E-2</v>
      </c>
      <c r="G62" s="20">
        <f t="shared" si="24"/>
        <v>2.5718095920491658E-2</v>
      </c>
      <c r="H62" s="20">
        <f t="shared" si="24"/>
        <v>2.5248946156490253E-2</v>
      </c>
      <c r="I62" s="20">
        <f t="shared" si="24"/>
        <v>2.6376699406304126E-2</v>
      </c>
      <c r="J62" s="20">
        <f t="shared" si="24"/>
        <v>2.6924022397493606E-2</v>
      </c>
      <c r="K62" s="20">
        <f t="shared" si="24"/>
        <v>2.7700971367973174E-2</v>
      </c>
      <c r="L62" s="20">
        <f t="shared" si="24"/>
        <v>3.1050606653913425E-2</v>
      </c>
    </row>
    <row r="63" spans="1:13" ht="15" customHeight="1" x14ac:dyDescent="0.35">
      <c r="A63" s="11" t="s">
        <v>164</v>
      </c>
      <c r="C63" s="20">
        <f t="shared" ref="C63:L63" si="25">IF(C57=0,0,C53/C57)</f>
        <v>0.21130095490067477</v>
      </c>
      <c r="D63" s="20">
        <f t="shared" si="25"/>
        <v>0.26698886205559402</v>
      </c>
      <c r="E63" s="20">
        <f t="shared" si="25"/>
        <v>0.28846282610485113</v>
      </c>
      <c r="F63" s="20">
        <f t="shared" si="25"/>
        <v>0.28348102421199367</v>
      </c>
      <c r="G63" s="20">
        <f t="shared" si="25"/>
        <v>0.27770322773449568</v>
      </c>
      <c r="H63" s="20">
        <f t="shared" si="25"/>
        <v>0.27002345195135408</v>
      </c>
      <c r="I63" s="20">
        <f t="shared" si="25"/>
        <v>0.26974868913239614</v>
      </c>
      <c r="J63" s="20">
        <f t="shared" si="25"/>
        <v>0.26828334670502141</v>
      </c>
      <c r="K63" s="20">
        <f t="shared" si="25"/>
        <v>0.26983726508520878</v>
      </c>
      <c r="L63" s="20">
        <f t="shared" si="25"/>
        <v>0.28832706178633893</v>
      </c>
    </row>
    <row r="64" spans="1:13" ht="15" customHeight="1" x14ac:dyDescent="0.35">
      <c r="A64" s="11" t="s">
        <v>165</v>
      </c>
      <c r="C64" s="20">
        <f t="shared" ref="C64:L64" si="26">IF(C57=0,0,C54/C57)</f>
        <v>0.35839345465055528</v>
      </c>
      <c r="D64" s="20">
        <f t="shared" si="26"/>
        <v>0.1666937811238656</v>
      </c>
      <c r="E64" s="20">
        <f t="shared" si="26"/>
        <v>9.3649800378557593E-2</v>
      </c>
      <c r="F64" s="20">
        <f t="shared" si="26"/>
        <v>6.8651676371631346E-2</v>
      </c>
      <c r="G64" s="20">
        <f t="shared" si="26"/>
        <v>4.7863936357230692E-2</v>
      </c>
      <c r="H64" s="20">
        <f t="shared" si="26"/>
        <v>3.6542296245259377E-2</v>
      </c>
      <c r="I64" s="20">
        <f t="shared" si="26"/>
        <v>2.5177282691726137E-2</v>
      </c>
      <c r="J64" s="20">
        <f t="shared" si="26"/>
        <v>1.9594834179949748E-2</v>
      </c>
      <c r="K64" s="20">
        <f t="shared" si="26"/>
        <v>1.6598062363333062E-2</v>
      </c>
      <c r="L64" s="20">
        <f t="shared" si="26"/>
        <v>1.3667974350688753E-2</v>
      </c>
    </row>
    <row r="65" spans="1:13" ht="15" customHeight="1" x14ac:dyDescent="0.35">
      <c r="A65" s="11" t="s">
        <v>166</v>
      </c>
      <c r="C65" s="20">
        <f t="shared" ref="C65:L65" si="27">IF(C57=0,0,C55/C57)</f>
        <v>3.756461420456441E-2</v>
      </c>
      <c r="D65" s="20">
        <f t="shared" si="27"/>
        <v>5.8252115357584157E-2</v>
      </c>
      <c r="E65" s="20">
        <f t="shared" si="27"/>
        <v>7.2692632178422506E-2</v>
      </c>
      <c r="F65" s="20">
        <f t="shared" si="27"/>
        <v>8.0844588386383393E-2</v>
      </c>
      <c r="G65" s="20">
        <f t="shared" si="27"/>
        <v>8.8865032875038635E-2</v>
      </c>
      <c r="H65" s="20">
        <f t="shared" si="27"/>
        <v>9.6577219048575219E-2</v>
      </c>
      <c r="I65" s="20">
        <f t="shared" si="27"/>
        <v>0.10303398205587547</v>
      </c>
      <c r="J65" s="20">
        <f t="shared" si="27"/>
        <v>0.10902737117484622</v>
      </c>
      <c r="K65" s="20">
        <f t="shared" si="27"/>
        <v>0.11394887440548407</v>
      </c>
      <c r="L65" s="20">
        <f t="shared" si="27"/>
        <v>0.11089502376397652</v>
      </c>
    </row>
    <row r="66" spans="1:13" ht="15" customHeight="1" x14ac:dyDescent="0.35">
      <c r="A66" s="11" t="s">
        <v>167</v>
      </c>
      <c r="C66" s="20">
        <f t="shared" ref="C66:L66" si="28">IF(C57=0,0,C56/C57)</f>
        <v>9.3911535511411025E-3</v>
      </c>
      <c r="D66" s="20">
        <f t="shared" si="28"/>
        <v>7.8016225925335927E-3</v>
      </c>
      <c r="E66" s="20">
        <f t="shared" si="28"/>
        <v>6.9231078265164286E-3</v>
      </c>
      <c r="F66" s="20">
        <f t="shared" si="28"/>
        <v>5.716284027320038E-3</v>
      </c>
      <c r="G66" s="20">
        <f t="shared" si="28"/>
        <v>4.4432516437519316E-3</v>
      </c>
      <c r="H66" s="20">
        <f t="shared" si="28"/>
        <v>3.5067980772903128E-3</v>
      </c>
      <c r="I66" s="20">
        <f t="shared" si="28"/>
        <v>3.2523352921677859E-3</v>
      </c>
      <c r="J66" s="20">
        <f t="shared" si="28"/>
        <v>2.3421562013930444E-3</v>
      </c>
      <c r="K66" s="20">
        <f t="shared" si="28"/>
        <v>2.1704547505806489E-3</v>
      </c>
      <c r="L66" s="20">
        <f t="shared" si="28"/>
        <v>1.5842146251996644E-3</v>
      </c>
    </row>
    <row r="67" spans="1:13" ht="15" customHeight="1" x14ac:dyDescent="0.35">
      <c r="A67" s="52" t="s">
        <v>168</v>
      </c>
      <c r="C67" s="53">
        <f t="shared" ref="C67:L67" si="29">SUM(C61:C66)</f>
        <v>1</v>
      </c>
      <c r="D67" s="53">
        <f t="shared" si="29"/>
        <v>0.99999999999999989</v>
      </c>
      <c r="E67" s="53">
        <f t="shared" si="29"/>
        <v>0.99999999999999989</v>
      </c>
      <c r="F67" s="53">
        <f t="shared" si="29"/>
        <v>1.0000000000000002</v>
      </c>
      <c r="G67" s="53">
        <f t="shared" si="29"/>
        <v>1</v>
      </c>
      <c r="H67" s="53">
        <f t="shared" si="29"/>
        <v>0.99999999999999989</v>
      </c>
      <c r="I67" s="53">
        <f t="shared" si="29"/>
        <v>1</v>
      </c>
      <c r="J67" s="53">
        <f t="shared" si="29"/>
        <v>0.99999999999999978</v>
      </c>
      <c r="K67" s="53">
        <f t="shared" si="29"/>
        <v>1</v>
      </c>
      <c r="L67" s="53">
        <f t="shared" si="29"/>
        <v>0.99999999999999989</v>
      </c>
    </row>
    <row r="69" spans="1:13" ht="15" customHeight="1" x14ac:dyDescent="0.35">
      <c r="A69" s="51" t="s">
        <v>169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</row>
    <row r="70" spans="1:13" ht="15" customHeight="1" x14ac:dyDescent="0.35">
      <c r="A70" s="11" t="s">
        <v>162</v>
      </c>
      <c r="C70" s="54">
        <f t="shared" ref="C70:L70" si="30">IF(C7=0,0,C51/C7*10000)</f>
        <v>6.4</v>
      </c>
      <c r="D70" s="54">
        <f t="shared" si="30"/>
        <v>7</v>
      </c>
      <c r="E70" s="54">
        <f t="shared" si="30"/>
        <v>7.2</v>
      </c>
      <c r="F70" s="54">
        <f t="shared" si="30"/>
        <v>7.6999999999999993</v>
      </c>
      <c r="G70" s="54">
        <f t="shared" si="30"/>
        <v>7.9999999999999991</v>
      </c>
      <c r="H70" s="54">
        <f t="shared" si="30"/>
        <v>8.1000000000000014</v>
      </c>
      <c r="I70" s="54">
        <f t="shared" si="30"/>
        <v>8</v>
      </c>
      <c r="J70" s="54">
        <f t="shared" si="30"/>
        <v>7.7000000000000011</v>
      </c>
      <c r="K70" s="54">
        <f t="shared" si="30"/>
        <v>7.2</v>
      </c>
      <c r="L70" s="54">
        <f t="shared" si="30"/>
        <v>6.2499999999999991</v>
      </c>
    </row>
    <row r="71" spans="1:13" ht="15" customHeight="1" x14ac:dyDescent="0.35">
      <c r="A71" s="11" t="s">
        <v>163</v>
      </c>
      <c r="C71" s="54">
        <f t="shared" ref="C71:L71" si="31">IF(C7=0,0,C52/C7*10000)</f>
        <v>0.13124999999999998</v>
      </c>
      <c r="D71" s="54">
        <f t="shared" si="31"/>
        <v>0.21384</v>
      </c>
      <c r="E71" s="54">
        <f t="shared" si="31"/>
        <v>0.26400000000000001</v>
      </c>
      <c r="F71" s="54">
        <f t="shared" si="31"/>
        <v>0.31919999999999998</v>
      </c>
      <c r="G71" s="54">
        <f t="shared" si="31"/>
        <v>0.37044000000000016</v>
      </c>
      <c r="H71" s="54">
        <f t="shared" si="31"/>
        <v>0.36</v>
      </c>
      <c r="I71" s="54">
        <f t="shared" si="31"/>
        <v>0.36864000000000013</v>
      </c>
      <c r="J71" s="54">
        <f t="shared" si="31"/>
        <v>0.36128400000000011</v>
      </c>
      <c r="K71" s="54">
        <f t="shared" si="31"/>
        <v>0.35006399999999999</v>
      </c>
      <c r="L71" s="54">
        <f t="shared" si="31"/>
        <v>0.35</v>
      </c>
    </row>
    <row r="72" spans="1:13" ht="15" customHeight="1" x14ac:dyDescent="0.35">
      <c r="A72" s="11" t="s">
        <v>164</v>
      </c>
      <c r="C72" s="54">
        <f t="shared" ref="C72:L72" si="32">IF(C7=0,0,C53/C7*10000)</f>
        <v>3.6</v>
      </c>
      <c r="D72" s="54">
        <f t="shared" si="32"/>
        <v>3.8499999999999992</v>
      </c>
      <c r="E72" s="54">
        <f t="shared" si="32"/>
        <v>3.9999999999999996</v>
      </c>
      <c r="F72" s="54">
        <f t="shared" si="32"/>
        <v>4.05</v>
      </c>
      <c r="G72" s="54">
        <f t="shared" si="32"/>
        <v>3.9999999999999996</v>
      </c>
      <c r="H72" s="54">
        <f t="shared" si="32"/>
        <v>3.8499999999999996</v>
      </c>
      <c r="I72" s="54">
        <f t="shared" si="32"/>
        <v>3.7699999999999996</v>
      </c>
      <c r="J72" s="54">
        <f t="shared" si="32"/>
        <v>3.5999999999999996</v>
      </c>
      <c r="K72" s="54">
        <f t="shared" si="32"/>
        <v>3.41</v>
      </c>
      <c r="L72" s="54">
        <f t="shared" si="32"/>
        <v>3.25</v>
      </c>
    </row>
    <row r="73" spans="1:13" ht="15" customHeight="1" x14ac:dyDescent="0.35">
      <c r="A73" s="11" t="s">
        <v>165</v>
      </c>
      <c r="C73" s="54">
        <f t="shared" ref="C73:L73" si="33">IF(C7=0,0,C54/C7*10000)</f>
        <v>6.1060606060606055</v>
      </c>
      <c r="D73" s="54">
        <f t="shared" si="33"/>
        <v>2.4037371910789633</v>
      </c>
      <c r="E73" s="54">
        <f t="shared" si="33"/>
        <v>1.2986047684982127</v>
      </c>
      <c r="F73" s="54">
        <f t="shared" si="33"/>
        <v>0.98080388300411492</v>
      </c>
      <c r="G73" s="54">
        <f t="shared" si="33"/>
        <v>0.68942571172405764</v>
      </c>
      <c r="H73" s="54">
        <f t="shared" si="33"/>
        <v>0.5210208207011372</v>
      </c>
      <c r="I73" s="54">
        <f t="shared" si="33"/>
        <v>0.35187698614253637</v>
      </c>
      <c r="J73" s="54">
        <f t="shared" si="33"/>
        <v>0.26293619754706443</v>
      </c>
      <c r="K73" s="54">
        <f t="shared" si="33"/>
        <v>0.2097538034307192</v>
      </c>
      <c r="L73" s="54">
        <f t="shared" si="33"/>
        <v>0.15406433362351535</v>
      </c>
    </row>
    <row r="74" spans="1:13" ht="15" customHeight="1" x14ac:dyDescent="0.35">
      <c r="A74" s="11" t="s">
        <v>166</v>
      </c>
      <c r="C74" s="54">
        <f t="shared" ref="C74:L74" si="34">IF(C7=0,0,C55/C7*10000)</f>
        <v>0.64000000000000012</v>
      </c>
      <c r="D74" s="54">
        <f t="shared" si="34"/>
        <v>0.84</v>
      </c>
      <c r="E74" s="54">
        <f t="shared" si="34"/>
        <v>1.0080000000000002</v>
      </c>
      <c r="F74" s="54">
        <f t="shared" si="34"/>
        <v>1.155</v>
      </c>
      <c r="G74" s="54">
        <f t="shared" si="34"/>
        <v>1.28</v>
      </c>
      <c r="H74" s="54">
        <f t="shared" si="34"/>
        <v>1.3770000000000002</v>
      </c>
      <c r="I74" s="54">
        <f t="shared" si="34"/>
        <v>1.44</v>
      </c>
      <c r="J74" s="54">
        <f t="shared" si="34"/>
        <v>1.4630000000000003</v>
      </c>
      <c r="K74" s="54">
        <f t="shared" si="34"/>
        <v>1.44</v>
      </c>
      <c r="L74" s="54">
        <f t="shared" si="34"/>
        <v>1.25</v>
      </c>
    </row>
    <row r="75" spans="1:13" ht="15" customHeight="1" x14ac:dyDescent="0.35">
      <c r="A75" s="11" t="s">
        <v>167</v>
      </c>
      <c r="C75" s="54">
        <f t="shared" ref="C75:L75" si="35">IF(C7=0,0,C56/C7*10000)</f>
        <v>0.16000000000000003</v>
      </c>
      <c r="D75" s="54">
        <f t="shared" si="35"/>
        <v>0.11249999999999999</v>
      </c>
      <c r="E75" s="54">
        <f t="shared" si="35"/>
        <v>9.6000000000000016E-2</v>
      </c>
      <c r="F75" s="54">
        <f t="shared" si="35"/>
        <v>8.1666666666666679E-2</v>
      </c>
      <c r="G75" s="54">
        <f t="shared" si="35"/>
        <v>6.4000000000000001E-2</v>
      </c>
      <c r="H75" s="54">
        <f t="shared" si="35"/>
        <v>0.05</v>
      </c>
      <c r="I75" s="54">
        <f t="shared" si="35"/>
        <v>4.5454545454545449E-2</v>
      </c>
      <c r="J75" s="54">
        <f t="shared" si="35"/>
        <v>3.1428571428571431E-2</v>
      </c>
      <c r="K75" s="54">
        <f t="shared" si="35"/>
        <v>2.7428571428571431E-2</v>
      </c>
      <c r="L75" s="54">
        <f t="shared" si="35"/>
        <v>1.7857142857142856E-2</v>
      </c>
    </row>
    <row r="76" spans="1:13" ht="15" customHeight="1" x14ac:dyDescent="0.35">
      <c r="A76" s="22" t="s">
        <v>170</v>
      </c>
      <c r="C76" s="55">
        <f t="shared" ref="C76:L76" si="36">SUM(C70:C75)</f>
        <v>17.037310606060604</v>
      </c>
      <c r="D76" s="55">
        <f t="shared" si="36"/>
        <v>14.420077191078963</v>
      </c>
      <c r="E76" s="55">
        <f t="shared" si="36"/>
        <v>13.866604768498215</v>
      </c>
      <c r="F76" s="55">
        <f t="shared" si="36"/>
        <v>14.286670549670779</v>
      </c>
      <c r="G76" s="55">
        <f t="shared" si="36"/>
        <v>14.403865711724055</v>
      </c>
      <c r="H76" s="55">
        <f t="shared" si="36"/>
        <v>14.258020820701139</v>
      </c>
      <c r="I76" s="55">
        <f t="shared" si="36"/>
        <v>13.975971531597082</v>
      </c>
      <c r="J76" s="55">
        <f t="shared" si="36"/>
        <v>13.418648768975638</v>
      </c>
      <c r="K76" s="55">
        <f t="shared" si="36"/>
        <v>12.637246374859288</v>
      </c>
      <c r="L76" s="55">
        <f t="shared" si="36"/>
        <v>11.271921476480655</v>
      </c>
    </row>
    <row r="78" spans="1:13" ht="15" customHeight="1" x14ac:dyDescent="0.35">
      <c r="A78" s="51" t="s">
        <v>171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</row>
    <row r="79" spans="1:13" ht="15" customHeight="1" x14ac:dyDescent="0.35">
      <c r="A79" s="11" t="s">
        <v>162</v>
      </c>
      <c r="C79" s="5" t="s">
        <v>172</v>
      </c>
      <c r="D79" s="5"/>
      <c r="E79" s="5"/>
      <c r="F79" s="5"/>
      <c r="G79" s="5"/>
      <c r="H79" s="5"/>
      <c r="I79" s="5"/>
      <c r="J79" s="5"/>
      <c r="K79" s="5"/>
      <c r="L79" s="5"/>
    </row>
    <row r="80" spans="1:13" ht="15" customHeight="1" x14ac:dyDescent="0.35">
      <c r="A80" s="11" t="s">
        <v>163</v>
      </c>
      <c r="C80" s="5" t="s">
        <v>173</v>
      </c>
      <c r="D80" s="5"/>
      <c r="E80" s="5"/>
      <c r="F80" s="5"/>
      <c r="G80" s="5"/>
      <c r="H80" s="5"/>
      <c r="I80" s="5"/>
      <c r="J80" s="5"/>
      <c r="K80" s="5"/>
      <c r="L80" s="5"/>
    </row>
    <row r="81" spans="1:13" ht="15" customHeight="1" x14ac:dyDescent="0.35">
      <c r="A81" s="11" t="s">
        <v>174</v>
      </c>
      <c r="C81" s="5" t="s">
        <v>175</v>
      </c>
      <c r="D81" s="5"/>
      <c r="E81" s="5"/>
      <c r="F81" s="5"/>
      <c r="G81" s="5"/>
      <c r="H81" s="5"/>
      <c r="I81" s="5"/>
      <c r="J81" s="5"/>
      <c r="K81" s="5"/>
      <c r="L81" s="5"/>
    </row>
    <row r="82" spans="1:13" ht="15" customHeight="1" x14ac:dyDescent="0.35">
      <c r="A82" s="11" t="s">
        <v>176</v>
      </c>
      <c r="C82" s="5" t="s">
        <v>177</v>
      </c>
      <c r="D82" s="5"/>
      <c r="E82" s="5"/>
      <c r="F82" s="5"/>
      <c r="G82" s="5"/>
      <c r="H82" s="5"/>
      <c r="I82" s="5"/>
      <c r="J82" s="5"/>
      <c r="K82" s="5"/>
      <c r="L82" s="5"/>
    </row>
    <row r="83" spans="1:13" ht="15" customHeight="1" x14ac:dyDescent="0.35">
      <c r="A83" s="11" t="s">
        <v>178</v>
      </c>
      <c r="C83" s="5" t="s">
        <v>179</v>
      </c>
      <c r="D83" s="5"/>
      <c r="E83" s="5"/>
      <c r="F83" s="5"/>
      <c r="G83" s="5"/>
      <c r="H83" s="5"/>
      <c r="I83" s="5"/>
      <c r="J83" s="5"/>
      <c r="K83" s="5"/>
      <c r="L83" s="5"/>
    </row>
    <row r="84" spans="1:13" ht="15" customHeight="1" x14ac:dyDescent="0.35">
      <c r="A84" s="11" t="s">
        <v>167</v>
      </c>
      <c r="C84" s="5" t="s">
        <v>180</v>
      </c>
      <c r="D84" s="5"/>
      <c r="E84" s="5"/>
      <c r="F84" s="5"/>
      <c r="G84" s="5"/>
      <c r="H84" s="5"/>
      <c r="I84" s="5"/>
      <c r="J84" s="5"/>
      <c r="K84" s="5"/>
      <c r="L84" s="5"/>
    </row>
    <row r="86" spans="1:13" ht="15" customHeight="1" x14ac:dyDescent="0.35">
      <c r="A86" s="56" t="s">
        <v>181</v>
      </c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</row>
    <row r="87" spans="1:13" ht="15" customHeight="1" x14ac:dyDescent="0.35">
      <c r="A87" s="58" t="s">
        <v>182</v>
      </c>
      <c r="B87" s="11"/>
      <c r="C87" s="4" t="s">
        <v>183</v>
      </c>
      <c r="D87" s="4"/>
      <c r="E87" s="4"/>
      <c r="F87" s="4"/>
      <c r="G87" s="4"/>
      <c r="H87" s="3" t="s">
        <v>27</v>
      </c>
      <c r="I87" s="3"/>
      <c r="J87" s="3"/>
      <c r="K87" s="3"/>
      <c r="L87" s="3"/>
      <c r="M87" s="3"/>
    </row>
    <row r="88" spans="1:13" ht="15" customHeight="1" x14ac:dyDescent="0.35">
      <c r="A88" s="58" t="s">
        <v>184</v>
      </c>
      <c r="B88" s="11"/>
      <c r="C88" s="4" t="s">
        <v>185</v>
      </c>
      <c r="D88" s="4"/>
      <c r="E88" s="4"/>
      <c r="F88" s="4"/>
      <c r="G88" s="4"/>
      <c r="H88" s="3" t="s">
        <v>12</v>
      </c>
      <c r="I88" s="3"/>
      <c r="J88" s="3"/>
      <c r="K88" s="3"/>
      <c r="L88" s="3"/>
      <c r="M88" s="3"/>
    </row>
    <row r="89" spans="1:13" ht="15" customHeight="1" x14ac:dyDescent="0.35">
      <c r="A89" s="58" t="s">
        <v>186</v>
      </c>
      <c r="B89" s="11"/>
      <c r="C89" s="4" t="s">
        <v>187</v>
      </c>
      <c r="D89" s="4"/>
      <c r="E89" s="4"/>
      <c r="F89" s="4"/>
      <c r="G89" s="4"/>
      <c r="H89" s="3" t="s">
        <v>40</v>
      </c>
      <c r="I89" s="3"/>
      <c r="J89" s="3"/>
      <c r="K89" s="3"/>
      <c r="L89" s="3"/>
      <c r="M89" s="3"/>
    </row>
    <row r="90" spans="1:13" ht="15" customHeight="1" x14ac:dyDescent="0.35">
      <c r="A90" s="58" t="s">
        <v>188</v>
      </c>
      <c r="B90" s="11"/>
      <c r="C90" s="4" t="s">
        <v>189</v>
      </c>
      <c r="D90" s="4"/>
      <c r="E90" s="4"/>
      <c r="F90" s="4"/>
      <c r="G90" s="4"/>
      <c r="H90" s="3" t="s">
        <v>190</v>
      </c>
      <c r="I90" s="3"/>
      <c r="J90" s="3"/>
      <c r="K90" s="3"/>
      <c r="L90" s="3"/>
      <c r="M90" s="3"/>
    </row>
    <row r="91" spans="1:13" ht="15" customHeight="1" x14ac:dyDescent="0.35">
      <c r="A91" s="58" t="s">
        <v>191</v>
      </c>
      <c r="B91" s="11"/>
      <c r="C91" s="4" t="s">
        <v>192</v>
      </c>
      <c r="D91" s="4"/>
      <c r="E91" s="4"/>
      <c r="F91" s="4"/>
      <c r="G91" s="4"/>
      <c r="H91" s="3" t="s">
        <v>106</v>
      </c>
      <c r="I91" s="3"/>
      <c r="J91" s="3"/>
      <c r="K91" s="3"/>
      <c r="L91" s="3"/>
      <c r="M91" s="3"/>
    </row>
    <row r="92" spans="1:13" ht="15" customHeight="1" x14ac:dyDescent="0.35">
      <c r="A92" s="58" t="s">
        <v>193</v>
      </c>
      <c r="B92" s="11"/>
      <c r="C92" s="4" t="s">
        <v>194</v>
      </c>
      <c r="D92" s="4"/>
      <c r="E92" s="4"/>
      <c r="F92" s="4"/>
      <c r="G92" s="4"/>
      <c r="H92" s="3" t="s">
        <v>195</v>
      </c>
      <c r="I92" s="3"/>
      <c r="J92" s="3"/>
      <c r="K92" s="3"/>
      <c r="L92" s="3"/>
      <c r="M92" s="3"/>
    </row>
    <row r="93" spans="1:13" ht="15" customHeight="1" x14ac:dyDescent="0.35">
      <c r="A93" s="58" t="s">
        <v>196</v>
      </c>
      <c r="B93" s="11"/>
      <c r="C93" s="4" t="s">
        <v>197</v>
      </c>
      <c r="D93" s="4"/>
      <c r="E93" s="4"/>
      <c r="F93" s="4"/>
      <c r="G93" s="4"/>
      <c r="H93" s="3" t="s">
        <v>142</v>
      </c>
      <c r="I93" s="3"/>
      <c r="J93" s="3"/>
      <c r="K93" s="3"/>
      <c r="L93" s="3"/>
      <c r="M93" s="3"/>
    </row>
    <row r="94" spans="1:13" ht="15" customHeight="1" x14ac:dyDescent="0.35">
      <c r="A94" s="58" t="s">
        <v>198</v>
      </c>
      <c r="B94" s="11"/>
      <c r="C94" s="4" t="s">
        <v>199</v>
      </c>
      <c r="D94" s="4"/>
      <c r="E94" s="4"/>
      <c r="F94" s="4"/>
      <c r="G94" s="4"/>
      <c r="H94" s="3" t="s">
        <v>27</v>
      </c>
      <c r="I94" s="3"/>
      <c r="J94" s="3"/>
      <c r="K94" s="3"/>
      <c r="L94" s="3"/>
      <c r="M94" s="3"/>
    </row>
    <row r="95" spans="1:13" ht="15" customHeight="1" x14ac:dyDescent="0.35">
      <c r="A95" s="58" t="s">
        <v>200</v>
      </c>
      <c r="C95" s="4" t="s">
        <v>201</v>
      </c>
      <c r="D95" s="4"/>
      <c r="E95" s="4"/>
      <c r="F95" s="4"/>
      <c r="G95" s="4"/>
      <c r="H95" s="3" t="s">
        <v>7</v>
      </c>
      <c r="I95" s="3"/>
      <c r="J95" s="3"/>
      <c r="K95" s="3"/>
      <c r="L95" s="3"/>
      <c r="M95" s="3"/>
    </row>
    <row r="96" spans="1:13" ht="15" customHeight="1" x14ac:dyDescent="0.35">
      <c r="A96" s="58" t="s">
        <v>202</v>
      </c>
      <c r="C96" s="4" t="s">
        <v>203</v>
      </c>
      <c r="D96" s="4"/>
      <c r="E96" s="4"/>
      <c r="F96" s="4"/>
      <c r="G96" s="4"/>
      <c r="H96" s="3" t="s">
        <v>204</v>
      </c>
      <c r="I96" s="3"/>
      <c r="J96" s="3"/>
      <c r="K96" s="3"/>
      <c r="L96" s="3"/>
      <c r="M96" s="3"/>
    </row>
    <row r="98" spans="1:13" ht="15" customHeight="1" x14ac:dyDescent="0.35">
      <c r="A98" s="59" t="s">
        <v>205</v>
      </c>
      <c r="C98" s="2" t="s">
        <v>206</v>
      </c>
      <c r="D98" s="2"/>
      <c r="E98" s="2"/>
      <c r="F98" s="2"/>
      <c r="G98" s="2"/>
      <c r="H98" s="2"/>
      <c r="I98" s="2"/>
      <c r="J98" s="2"/>
      <c r="K98" s="2"/>
      <c r="L98" s="2"/>
      <c r="M98" s="2"/>
    </row>
  </sheetData>
  <mergeCells count="27">
    <mergeCell ref="C95:G95"/>
    <mergeCell ref="H95:M95"/>
    <mergeCell ref="C96:G96"/>
    <mergeCell ref="H96:M96"/>
    <mergeCell ref="C98:M98"/>
    <mergeCell ref="C92:G92"/>
    <mergeCell ref="H92:M92"/>
    <mergeCell ref="C93:G93"/>
    <mergeCell ref="H93:M93"/>
    <mergeCell ref="C94:G94"/>
    <mergeCell ref="H94:M94"/>
    <mergeCell ref="C89:G89"/>
    <mergeCell ref="H89:M89"/>
    <mergeCell ref="C90:G90"/>
    <mergeCell ref="H90:M90"/>
    <mergeCell ref="C91:G91"/>
    <mergeCell ref="H91:M91"/>
    <mergeCell ref="C84:L84"/>
    <mergeCell ref="C87:G87"/>
    <mergeCell ref="H87:M87"/>
    <mergeCell ref="C88:G88"/>
    <mergeCell ref="H88:M88"/>
    <mergeCell ref="C79:L79"/>
    <mergeCell ref="C80:L80"/>
    <mergeCell ref="C81:L81"/>
    <mergeCell ref="C82:L82"/>
    <mergeCell ref="C83:L83"/>
  </mergeCells>
  <hyperlinks>
    <hyperlink ref="N10" r:id="rId1" xr:uid="{00000000-0004-0000-0200-000000000000}"/>
    <hyperlink ref="N12" r:id="rId2" xr:uid="{00000000-0004-0000-0200-000001000000}"/>
    <hyperlink ref="N16" r:id="rId3" xr:uid="{00000000-0004-0000-0200-000002000000}"/>
    <hyperlink ref="N18" r:id="rId4" xr:uid="{00000000-0004-0000-0200-000003000000}"/>
    <hyperlink ref="N20" r:id="rId5" xr:uid="{00000000-0004-0000-0200-000004000000}"/>
    <hyperlink ref="N26" r:id="rId6" xr:uid="{00000000-0004-0000-0200-000005000000}"/>
    <hyperlink ref="N28" r:id="rId7" xr:uid="{00000000-0004-0000-0200-000006000000}"/>
    <hyperlink ref="N33" r:id="rId8" xr:uid="{00000000-0004-0000-0200-000007000000}"/>
    <hyperlink ref="N41" r:id="rId9" xr:uid="{00000000-0004-0000-0200-000008000000}"/>
    <hyperlink ref="N46" r:id="rId10" xr:uid="{00000000-0004-0000-0200-000009000000}"/>
    <hyperlink ref="N47" r:id="rId11" xr:uid="{00000000-0004-0000-0200-00000A000000}"/>
    <hyperlink ref="H87" r:id="rId12" xr:uid="{00000000-0004-0000-0200-00000B000000}"/>
    <hyperlink ref="H88" r:id="rId13" xr:uid="{00000000-0004-0000-0200-00000C000000}"/>
    <hyperlink ref="H89" r:id="rId14" xr:uid="{00000000-0004-0000-0200-00000D000000}"/>
    <hyperlink ref="H90" r:id="rId15" xr:uid="{00000000-0004-0000-0200-00000E000000}"/>
    <hyperlink ref="H91" r:id="rId16" xr:uid="{00000000-0004-0000-0200-00000F000000}"/>
    <hyperlink ref="H92" r:id="rId17" xr:uid="{00000000-0004-0000-0200-000010000000}"/>
    <hyperlink ref="H93" r:id="rId18" xr:uid="{00000000-0004-0000-0200-000011000000}"/>
    <hyperlink ref="H94" r:id="rId19" xr:uid="{00000000-0004-0000-0200-000012000000}"/>
    <hyperlink ref="H95" r:id="rId20" xr:uid="{00000000-0004-0000-0200-000013000000}"/>
    <hyperlink ref="H96" r:id="rId21" xr:uid="{00000000-0004-0000-0200-000014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F21"/>
  <sheetViews>
    <sheetView zoomScaleNormal="100" workbookViewId="0"/>
  </sheetViews>
  <sheetFormatPr defaultColWidth="8.6328125" defaultRowHeight="14.5" x14ac:dyDescent="0.35"/>
  <cols>
    <col min="1" max="1" width="38" customWidth="1"/>
    <col min="2" max="5" width="18" customWidth="1"/>
    <col min="6" max="6" width="55" customWidth="1"/>
  </cols>
  <sheetData>
    <row r="1" spans="1:6" ht="15.75" customHeight="1" x14ac:dyDescent="0.35">
      <c r="A1" s="60" t="s">
        <v>207</v>
      </c>
    </row>
    <row r="3" spans="1:6" ht="15" customHeight="1" x14ac:dyDescent="0.35">
      <c r="A3" s="9" t="s">
        <v>208</v>
      </c>
      <c r="B3" s="10"/>
      <c r="C3" s="10"/>
      <c r="D3" s="10"/>
      <c r="E3" s="10"/>
    </row>
    <row r="4" spans="1:6" ht="15" customHeight="1" x14ac:dyDescent="0.35">
      <c r="A4" s="16"/>
      <c r="B4" s="16" t="s">
        <v>209</v>
      </c>
      <c r="C4" s="16" t="s">
        <v>210</v>
      </c>
      <c r="D4" s="16" t="s">
        <v>211</v>
      </c>
    </row>
    <row r="5" spans="1:6" ht="15" customHeight="1" x14ac:dyDescent="0.35">
      <c r="A5" s="11" t="s">
        <v>212</v>
      </c>
      <c r="B5" s="24">
        <v>0.08</v>
      </c>
      <c r="C5" s="24">
        <v>0.2</v>
      </c>
      <c r="D5" s="24">
        <v>0.35</v>
      </c>
      <c r="F5" s="13" t="s">
        <v>213</v>
      </c>
    </row>
    <row r="6" spans="1:6" ht="15" customHeight="1" x14ac:dyDescent="0.35">
      <c r="A6" s="11" t="s">
        <v>214</v>
      </c>
      <c r="B6" s="24">
        <v>0.04</v>
      </c>
      <c r="C6" s="24">
        <v>0.12</v>
      </c>
      <c r="D6" s="24">
        <v>0.25</v>
      </c>
    </row>
    <row r="7" spans="1:6" ht="15" customHeight="1" x14ac:dyDescent="0.35">
      <c r="A7" s="11" t="s">
        <v>215</v>
      </c>
      <c r="B7" s="24">
        <v>0.01</v>
      </c>
      <c r="C7" s="24">
        <v>0.05</v>
      </c>
      <c r="D7" s="24">
        <v>0.12</v>
      </c>
    </row>
    <row r="9" spans="1:6" ht="15" customHeight="1" x14ac:dyDescent="0.35">
      <c r="A9" s="9" t="s">
        <v>216</v>
      </c>
      <c r="B9" s="10"/>
      <c r="C9" s="10"/>
      <c r="D9" s="10"/>
      <c r="E9" s="10"/>
    </row>
    <row r="10" spans="1:6" ht="15" customHeight="1" x14ac:dyDescent="0.35">
      <c r="A10" s="11" t="s">
        <v>217</v>
      </c>
      <c r="B10" s="19">
        <f>Assumptions!B13*(1+Assumptions!B33)^9</f>
        <v>5119.3831127291023</v>
      </c>
    </row>
    <row r="11" spans="1:6" ht="15" customHeight="1" x14ac:dyDescent="0.35">
      <c r="A11" s="11" t="s">
        <v>218</v>
      </c>
      <c r="B11" s="19">
        <f>Assumptions!C13*(1+Assumptions!B33)^9</f>
        <v>17840.274483752932</v>
      </c>
    </row>
    <row r="12" spans="1:6" ht="15" customHeight="1" x14ac:dyDescent="0.35">
      <c r="A12" s="11" t="s">
        <v>219</v>
      </c>
      <c r="B12" s="19">
        <f>Assumptions!D13*(1+Assumptions!B33)^9</f>
        <v>79428.004658100006</v>
      </c>
    </row>
    <row r="14" spans="1:6" ht="15" customHeight="1" x14ac:dyDescent="0.35">
      <c r="A14" s="9" t="s">
        <v>220</v>
      </c>
      <c r="B14" s="10"/>
      <c r="C14" s="10"/>
      <c r="D14" s="10"/>
      <c r="E14" s="10"/>
    </row>
    <row r="15" spans="1:6" ht="15" customHeight="1" x14ac:dyDescent="0.35">
      <c r="A15" s="16"/>
      <c r="B15" s="16" t="s">
        <v>209</v>
      </c>
      <c r="C15" s="16" t="s">
        <v>210</v>
      </c>
      <c r="D15" s="16" t="s">
        <v>211</v>
      </c>
    </row>
    <row r="16" spans="1:6" ht="15" customHeight="1" x14ac:dyDescent="0.35">
      <c r="A16" s="11" t="s">
        <v>221</v>
      </c>
      <c r="B16" s="19">
        <f>$B$10*B5</f>
        <v>409.55064901832822</v>
      </c>
      <c r="C16" s="19">
        <f>$B$10*C5</f>
        <v>1023.8766225458205</v>
      </c>
      <c r="D16" s="19">
        <f>$B$10*D5</f>
        <v>1791.7840894551857</v>
      </c>
    </row>
    <row r="17" spans="1:4" ht="15" customHeight="1" x14ac:dyDescent="0.35">
      <c r="A17" s="11" t="s">
        <v>222</v>
      </c>
      <c r="B17" s="19">
        <f>$B$11*B6</f>
        <v>713.6109793501173</v>
      </c>
      <c r="C17" s="19">
        <f>$B$11*C6</f>
        <v>2140.8329380503519</v>
      </c>
      <c r="D17" s="19">
        <f>$B$11*D6</f>
        <v>4460.0686209382329</v>
      </c>
    </row>
    <row r="18" spans="1:4" ht="15" customHeight="1" x14ac:dyDescent="0.35">
      <c r="A18" s="11" t="s">
        <v>223</v>
      </c>
      <c r="B18" s="19">
        <f>$B$12*B7</f>
        <v>794.28004658100008</v>
      </c>
      <c r="C18" s="19">
        <f>$B$12*C7</f>
        <v>3971.4002329050004</v>
      </c>
      <c r="D18" s="19">
        <f>$B$12*D7</f>
        <v>9531.3605589720009</v>
      </c>
    </row>
    <row r="20" spans="1:4" ht="15" customHeight="1" x14ac:dyDescent="0.35">
      <c r="A20" s="8" t="s">
        <v>93</v>
      </c>
      <c r="B20" s="31">
        <f>SUM(B16:B18)</f>
        <v>1917.4416749494455</v>
      </c>
      <c r="C20" s="31">
        <f>SUM(C16:C18)</f>
        <v>7136.109793501173</v>
      </c>
      <c r="D20" s="31">
        <f>SUM(D16:D18)</f>
        <v>15783.21326936542</v>
      </c>
    </row>
    <row r="21" spans="1:4" ht="15" customHeight="1" x14ac:dyDescent="0.35">
      <c r="A21" s="11" t="s">
        <v>224</v>
      </c>
      <c r="B21" s="20">
        <f>B20/($B$10+$B$11+$B$12)</f>
        <v>1.8727272727272728E-2</v>
      </c>
      <c r="C21" s="20">
        <f>C20/($B$10+$B$11+$B$12)</f>
        <v>6.9696969696969702E-2</v>
      </c>
      <c r="D21" s="20">
        <f>D20/($B$10+$B$11+$B$12)</f>
        <v>0.15415151515151515</v>
      </c>
    </row>
  </sheetData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D7D31"/>
  </sheetPr>
  <dimension ref="A1:M69"/>
  <sheetViews>
    <sheetView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8" customWidth="1"/>
    <col min="2" max="3" width="16" customWidth="1"/>
    <col min="4" max="4" width="18" customWidth="1"/>
    <col min="5" max="5" width="14" customWidth="1"/>
    <col min="6" max="6" width="5" customWidth="1"/>
    <col min="7" max="7" width="8" customWidth="1"/>
    <col min="8" max="8" width="18" customWidth="1"/>
    <col min="9" max="9" width="20" customWidth="1"/>
    <col min="10" max="12" width="18" customWidth="1"/>
    <col min="13" max="13" width="14" customWidth="1"/>
  </cols>
  <sheetData>
    <row r="1" spans="1:13" ht="17.25" customHeight="1" x14ac:dyDescent="0.4">
      <c r="A1" s="7" t="s">
        <v>225</v>
      </c>
    </row>
    <row r="2" spans="1:13" ht="15" customHeight="1" x14ac:dyDescent="0.35">
      <c r="A2" s="33" t="s">
        <v>226</v>
      </c>
    </row>
    <row r="4" spans="1:13" ht="15" customHeight="1" x14ac:dyDescent="0.35">
      <c r="A4" s="51" t="s">
        <v>227</v>
      </c>
      <c r="B4" s="10"/>
      <c r="C4" s="10"/>
      <c r="D4" s="10"/>
      <c r="E4" s="10"/>
      <c r="G4" s="51" t="s">
        <v>228</v>
      </c>
      <c r="H4" s="10"/>
      <c r="I4" s="10"/>
      <c r="J4" s="10"/>
      <c r="K4" s="10"/>
      <c r="L4" s="10"/>
      <c r="M4" s="10"/>
    </row>
    <row r="5" spans="1:13" ht="23.25" customHeight="1" x14ac:dyDescent="0.35">
      <c r="A5" s="61" t="s">
        <v>33</v>
      </c>
      <c r="B5" s="61" t="s">
        <v>229</v>
      </c>
      <c r="C5" s="61" t="s">
        <v>230</v>
      </c>
      <c r="D5" s="61" t="s">
        <v>231</v>
      </c>
      <c r="E5" s="61" t="s">
        <v>232</v>
      </c>
      <c r="G5" s="61" t="s">
        <v>33</v>
      </c>
      <c r="H5" s="61" t="s">
        <v>233</v>
      </c>
      <c r="I5" s="61" t="s">
        <v>234</v>
      </c>
      <c r="J5" s="61" t="s">
        <v>235</v>
      </c>
      <c r="K5" s="61" t="s">
        <v>236</v>
      </c>
      <c r="L5" s="61" t="s">
        <v>230</v>
      </c>
      <c r="M5" s="61" t="s">
        <v>237</v>
      </c>
    </row>
    <row r="6" spans="1:13" ht="15" customHeight="1" x14ac:dyDescent="0.35">
      <c r="A6" s="23">
        <v>1993</v>
      </c>
      <c r="B6" s="44">
        <v>0.5</v>
      </c>
      <c r="C6" s="44">
        <v>5137</v>
      </c>
      <c r="D6" s="62">
        <f t="shared" ref="D6:D38" si="0">B6/C6</f>
        <v>9.7333073778469931E-5</v>
      </c>
      <c r="E6" s="12">
        <v>1</v>
      </c>
      <c r="G6" s="23">
        <v>1990</v>
      </c>
      <c r="H6" s="44">
        <v>75</v>
      </c>
      <c r="I6" s="44">
        <v>1325</v>
      </c>
      <c r="J6" s="20">
        <f t="shared" ref="J6:J41" si="1">H6/I6</f>
        <v>5.6603773584905662E-2</v>
      </c>
      <c r="K6" s="44">
        <v>120</v>
      </c>
      <c r="L6" s="44">
        <v>3060</v>
      </c>
      <c r="M6" s="20">
        <f t="shared" ref="M6:M41" si="2">K6/L6</f>
        <v>3.9215686274509803E-2</v>
      </c>
    </row>
    <row r="7" spans="1:13" ht="15" customHeight="1" x14ac:dyDescent="0.35">
      <c r="A7" s="23">
        <v>1994</v>
      </c>
      <c r="B7" s="44">
        <v>0.4</v>
      </c>
      <c r="C7" s="44">
        <v>5068</v>
      </c>
      <c r="D7" s="62">
        <f t="shared" si="0"/>
        <v>7.8926598263614846E-5</v>
      </c>
      <c r="E7" s="12">
        <v>1</v>
      </c>
      <c r="G7" s="23">
        <v>1991</v>
      </c>
      <c r="H7" s="44">
        <v>100</v>
      </c>
      <c r="I7" s="44">
        <v>1520</v>
      </c>
      <c r="J7" s="20">
        <f t="shared" si="1"/>
        <v>6.5789473684210523E-2</v>
      </c>
      <c r="K7" s="44">
        <v>165</v>
      </c>
      <c r="L7" s="44">
        <v>4090</v>
      </c>
      <c r="M7" s="20">
        <f t="shared" si="2"/>
        <v>4.0342298288508556E-2</v>
      </c>
    </row>
    <row r="8" spans="1:13" ht="15" customHeight="1" x14ac:dyDescent="0.35">
      <c r="A8" s="23">
        <v>1995</v>
      </c>
      <c r="B8" s="44">
        <v>1.1000000000000001</v>
      </c>
      <c r="C8" s="44">
        <v>6858</v>
      </c>
      <c r="D8" s="62">
        <f t="shared" si="0"/>
        <v>1.6039661708953048E-4</v>
      </c>
      <c r="E8" s="12">
        <v>2</v>
      </c>
      <c r="G8" s="23">
        <v>1992</v>
      </c>
      <c r="H8" s="44">
        <v>110</v>
      </c>
      <c r="I8" s="44">
        <v>1745</v>
      </c>
      <c r="J8" s="20">
        <f t="shared" si="1"/>
        <v>6.3037249283667621E-2</v>
      </c>
      <c r="K8" s="44">
        <v>170</v>
      </c>
      <c r="L8" s="44">
        <v>4485</v>
      </c>
      <c r="M8" s="20">
        <f t="shared" si="2"/>
        <v>3.79041248606466E-2</v>
      </c>
    </row>
    <row r="9" spans="1:13" ht="15" customHeight="1" x14ac:dyDescent="0.35">
      <c r="A9" s="23">
        <v>1996</v>
      </c>
      <c r="B9" s="44">
        <v>2.4</v>
      </c>
      <c r="C9" s="44">
        <v>8484</v>
      </c>
      <c r="D9" s="62">
        <f t="shared" si="0"/>
        <v>2.8288543140028287E-4</v>
      </c>
      <c r="E9" s="12">
        <v>19</v>
      </c>
      <c r="G9" s="23">
        <v>1993</v>
      </c>
      <c r="H9" s="44">
        <v>135</v>
      </c>
      <c r="I9" s="44">
        <v>2081</v>
      </c>
      <c r="J9" s="20">
        <f t="shared" si="1"/>
        <v>6.4872657376261411E-2</v>
      </c>
      <c r="K9" s="44">
        <v>210</v>
      </c>
      <c r="L9" s="44">
        <v>5137</v>
      </c>
      <c r="M9" s="20">
        <f t="shared" si="2"/>
        <v>4.0879890986957365E-2</v>
      </c>
    </row>
    <row r="10" spans="1:13" ht="15" customHeight="1" x14ac:dyDescent="0.35">
      <c r="A10" s="23">
        <v>1997</v>
      </c>
      <c r="B10" s="44">
        <v>6.7</v>
      </c>
      <c r="C10" s="44">
        <v>10880</v>
      </c>
      <c r="D10" s="62">
        <f t="shared" si="0"/>
        <v>6.1580882352941179E-4</v>
      </c>
      <c r="E10" s="12">
        <v>19</v>
      </c>
      <c r="G10" s="23">
        <v>1994</v>
      </c>
      <c r="H10" s="44">
        <v>140</v>
      </c>
      <c r="I10" s="44">
        <v>2454</v>
      </c>
      <c r="J10" s="20">
        <f t="shared" si="1"/>
        <v>5.7049714751426242E-2</v>
      </c>
      <c r="K10" s="44">
        <v>200</v>
      </c>
      <c r="L10" s="44">
        <v>5068</v>
      </c>
      <c r="M10" s="20">
        <f t="shared" si="2"/>
        <v>3.9463299131807419E-2</v>
      </c>
    </row>
    <row r="11" spans="1:13" ht="15" customHeight="1" x14ac:dyDescent="0.35">
      <c r="A11" s="23">
        <v>1998</v>
      </c>
      <c r="B11" s="44">
        <v>16</v>
      </c>
      <c r="C11" s="44">
        <v>13451</v>
      </c>
      <c r="D11" s="62">
        <f t="shared" si="0"/>
        <v>1.1895026392089807E-3</v>
      </c>
      <c r="E11" s="12">
        <v>29</v>
      </c>
      <c r="G11" s="23">
        <v>1995</v>
      </c>
      <c r="H11" s="44">
        <v>152</v>
      </c>
      <c r="I11" s="44">
        <v>3083</v>
      </c>
      <c r="J11" s="20">
        <f t="shared" si="1"/>
        <v>4.9302627311060658E-2</v>
      </c>
      <c r="K11" s="44">
        <v>310</v>
      </c>
      <c r="L11" s="44">
        <v>6858</v>
      </c>
      <c r="M11" s="20">
        <f t="shared" si="2"/>
        <v>4.5202682997958592E-2</v>
      </c>
    </row>
    <row r="12" spans="1:13" ht="15" customHeight="1" x14ac:dyDescent="0.35">
      <c r="A12" s="23">
        <v>1999</v>
      </c>
      <c r="B12" s="44">
        <v>34</v>
      </c>
      <c r="C12" s="44">
        <v>16635</v>
      </c>
      <c r="D12" s="62">
        <f t="shared" si="0"/>
        <v>2.043883378418996E-3</v>
      </c>
      <c r="E12" s="12">
        <v>30</v>
      </c>
      <c r="G12" s="23">
        <v>1996</v>
      </c>
      <c r="H12" s="44">
        <v>195</v>
      </c>
      <c r="I12" s="44">
        <v>4064</v>
      </c>
      <c r="J12" s="20">
        <f t="shared" si="1"/>
        <v>4.7982283464566927E-2</v>
      </c>
      <c r="K12" s="44">
        <v>405</v>
      </c>
      <c r="L12" s="44">
        <v>8484</v>
      </c>
      <c r="M12" s="20">
        <f t="shared" si="2"/>
        <v>4.7736916548797734E-2</v>
      </c>
    </row>
    <row r="13" spans="1:13" ht="15" customHeight="1" x14ac:dyDescent="0.35">
      <c r="A13" s="23">
        <v>2000</v>
      </c>
      <c r="B13" s="44">
        <v>66</v>
      </c>
      <c r="C13" s="44">
        <v>15104</v>
      </c>
      <c r="D13" s="62">
        <f t="shared" si="0"/>
        <v>4.3697033898305081E-3</v>
      </c>
      <c r="E13" s="12">
        <v>80</v>
      </c>
      <c r="G13" s="23">
        <v>1997</v>
      </c>
      <c r="H13" s="44">
        <v>275</v>
      </c>
      <c r="I13" s="44">
        <v>5778</v>
      </c>
      <c r="J13" s="20">
        <f t="shared" si="1"/>
        <v>4.7594323295257875E-2</v>
      </c>
      <c r="K13" s="44">
        <v>520</v>
      </c>
      <c r="L13" s="44">
        <v>10880</v>
      </c>
      <c r="M13" s="20">
        <f t="shared" si="2"/>
        <v>4.779411764705882E-2</v>
      </c>
    </row>
    <row r="14" spans="1:13" ht="15" customHeight="1" x14ac:dyDescent="0.35">
      <c r="A14" s="23">
        <v>2001</v>
      </c>
      <c r="B14" s="44">
        <v>84</v>
      </c>
      <c r="C14" s="44">
        <v>13855</v>
      </c>
      <c r="D14" s="62">
        <f t="shared" si="0"/>
        <v>6.0627932154456877E-3</v>
      </c>
      <c r="E14" s="12">
        <v>102</v>
      </c>
      <c r="G14" s="23">
        <v>1998</v>
      </c>
      <c r="H14" s="44">
        <v>340</v>
      </c>
      <c r="I14" s="44">
        <v>7318</v>
      </c>
      <c r="J14" s="20">
        <f t="shared" si="1"/>
        <v>4.646078163432632E-2</v>
      </c>
      <c r="K14" s="44">
        <v>580</v>
      </c>
      <c r="L14" s="44">
        <v>13451</v>
      </c>
      <c r="M14" s="20">
        <f t="shared" si="2"/>
        <v>4.3119470671325551E-2</v>
      </c>
    </row>
    <row r="15" spans="1:13" ht="15" customHeight="1" x14ac:dyDescent="0.35">
      <c r="A15" s="23">
        <v>2002</v>
      </c>
      <c r="B15" s="44">
        <v>102</v>
      </c>
      <c r="C15" s="44">
        <v>10049</v>
      </c>
      <c r="D15" s="62">
        <f t="shared" si="0"/>
        <v>1.0150263707831625E-2</v>
      </c>
      <c r="E15" s="12">
        <v>113</v>
      </c>
      <c r="G15" s="23">
        <v>1999</v>
      </c>
      <c r="H15" s="44">
        <v>597</v>
      </c>
      <c r="I15" s="44">
        <v>14223</v>
      </c>
      <c r="J15" s="20">
        <f t="shared" si="1"/>
        <v>4.1974267032271674E-2</v>
      </c>
      <c r="K15" s="44">
        <v>980</v>
      </c>
      <c r="L15" s="44">
        <v>16635</v>
      </c>
      <c r="M15" s="20">
        <f t="shared" si="2"/>
        <v>5.8911932672076943E-2</v>
      </c>
    </row>
    <row r="16" spans="1:13" ht="15" customHeight="1" x14ac:dyDescent="0.35">
      <c r="A16" s="23">
        <v>2003</v>
      </c>
      <c r="B16" s="44">
        <v>151</v>
      </c>
      <c r="C16" s="44">
        <v>14266</v>
      </c>
      <c r="D16" s="62">
        <f t="shared" si="0"/>
        <v>1.0584606757325109E-2</v>
      </c>
      <c r="E16" s="12">
        <v>119</v>
      </c>
      <c r="G16" s="23">
        <v>2000</v>
      </c>
      <c r="H16" s="44">
        <v>560</v>
      </c>
      <c r="I16" s="44">
        <v>14954</v>
      </c>
      <c r="J16" s="20">
        <f t="shared" si="1"/>
        <v>3.7448174401497926E-2</v>
      </c>
      <c r="K16" s="44">
        <v>850</v>
      </c>
      <c r="L16" s="44">
        <v>15104</v>
      </c>
      <c r="M16" s="20">
        <f t="shared" si="2"/>
        <v>5.627648305084746E-2</v>
      </c>
    </row>
    <row r="17" spans="1:13" ht="15" customHeight="1" x14ac:dyDescent="0.35">
      <c r="A17" s="23">
        <v>2004</v>
      </c>
      <c r="B17" s="44">
        <v>228</v>
      </c>
      <c r="C17" s="44">
        <v>16324</v>
      </c>
      <c r="D17" s="62">
        <f t="shared" si="0"/>
        <v>1.3967164910561138E-2</v>
      </c>
      <c r="E17" s="12">
        <v>152</v>
      </c>
      <c r="G17" s="23">
        <v>2001</v>
      </c>
      <c r="H17" s="44">
        <v>382</v>
      </c>
      <c r="I17" s="44">
        <v>10311</v>
      </c>
      <c r="J17" s="20">
        <f t="shared" si="1"/>
        <v>3.7047813015226458E-2</v>
      </c>
      <c r="K17" s="44">
        <v>550</v>
      </c>
      <c r="L17" s="44">
        <v>13855</v>
      </c>
      <c r="M17" s="20">
        <f t="shared" si="2"/>
        <v>3.9696860339227716E-2</v>
      </c>
    </row>
    <row r="18" spans="1:13" ht="15" customHeight="1" x14ac:dyDescent="0.35">
      <c r="A18" s="23">
        <v>2005</v>
      </c>
      <c r="B18" s="44">
        <v>296</v>
      </c>
      <c r="C18" s="44">
        <v>17001</v>
      </c>
      <c r="D18" s="62">
        <f t="shared" si="0"/>
        <v>1.7410740544673842E-2</v>
      </c>
      <c r="E18" s="12">
        <v>204</v>
      </c>
      <c r="G18" s="23">
        <v>2002</v>
      </c>
      <c r="H18" s="44">
        <v>300</v>
      </c>
      <c r="I18" s="44">
        <v>8545</v>
      </c>
      <c r="J18" s="20">
        <f t="shared" si="1"/>
        <v>3.5108250438853128E-2</v>
      </c>
      <c r="K18" s="44">
        <v>420</v>
      </c>
      <c r="L18" s="44">
        <v>10049</v>
      </c>
      <c r="M18" s="20">
        <f t="shared" si="2"/>
        <v>4.1795203502836102E-2</v>
      </c>
    </row>
    <row r="19" spans="1:13" ht="15" customHeight="1" x14ac:dyDescent="0.35">
      <c r="A19" s="23">
        <v>2006</v>
      </c>
      <c r="B19" s="44">
        <v>423</v>
      </c>
      <c r="C19" s="44">
        <v>19426</v>
      </c>
      <c r="D19" s="62">
        <f t="shared" si="0"/>
        <v>2.1774940800988365E-2</v>
      </c>
      <c r="E19" s="12">
        <v>359</v>
      </c>
      <c r="G19" s="23">
        <v>2003</v>
      </c>
      <c r="H19" s="44">
        <v>380</v>
      </c>
      <c r="I19" s="44">
        <v>10089</v>
      </c>
      <c r="J19" s="20">
        <f t="shared" si="1"/>
        <v>3.7664783427495289E-2</v>
      </c>
      <c r="K19" s="44">
        <v>620</v>
      </c>
      <c r="L19" s="44">
        <v>14266</v>
      </c>
      <c r="M19" s="20">
        <f t="shared" si="2"/>
        <v>4.3459974765175942E-2</v>
      </c>
    </row>
    <row r="20" spans="1:13" ht="15" customHeight="1" x14ac:dyDescent="0.35">
      <c r="A20" s="23">
        <v>2007</v>
      </c>
      <c r="B20" s="44">
        <v>608</v>
      </c>
      <c r="C20" s="44">
        <v>19948</v>
      </c>
      <c r="D20" s="62">
        <f t="shared" si="0"/>
        <v>3.0479246039703228E-2</v>
      </c>
      <c r="E20" s="12">
        <v>629</v>
      </c>
      <c r="G20" s="23">
        <v>2004</v>
      </c>
      <c r="H20" s="44">
        <v>520</v>
      </c>
      <c r="I20" s="44">
        <v>11618</v>
      </c>
      <c r="J20" s="20">
        <f t="shared" si="1"/>
        <v>4.4758133930108454E-2</v>
      </c>
      <c r="K20" s="44">
        <v>890</v>
      </c>
      <c r="L20" s="44">
        <v>16324</v>
      </c>
      <c r="M20" s="20">
        <f t="shared" si="2"/>
        <v>5.4520950747365841E-2</v>
      </c>
    </row>
    <row r="21" spans="1:13" ht="15" customHeight="1" x14ac:dyDescent="0.35">
      <c r="A21" s="23">
        <v>2008</v>
      </c>
      <c r="B21" s="44">
        <v>531</v>
      </c>
      <c r="C21" s="44">
        <v>11738</v>
      </c>
      <c r="D21" s="62">
        <f t="shared" si="0"/>
        <v>4.5237689555290513E-2</v>
      </c>
      <c r="E21" s="12">
        <v>728</v>
      </c>
      <c r="G21" s="23">
        <v>2005</v>
      </c>
      <c r="H21" s="44">
        <v>684</v>
      </c>
      <c r="I21" s="44">
        <v>14125</v>
      </c>
      <c r="J21" s="20">
        <f t="shared" si="1"/>
        <v>4.8424778761061944E-2</v>
      </c>
      <c r="K21" s="44">
        <v>1350</v>
      </c>
      <c r="L21" s="44">
        <v>17001</v>
      </c>
      <c r="M21" s="20">
        <f t="shared" si="2"/>
        <v>7.9407093700370565E-2</v>
      </c>
    </row>
    <row r="22" spans="1:13" ht="15" customHeight="1" x14ac:dyDescent="0.35">
      <c r="A22" s="23">
        <v>2009</v>
      </c>
      <c r="B22" s="44">
        <v>777</v>
      </c>
      <c r="C22" s="44">
        <v>15077</v>
      </c>
      <c r="D22" s="62">
        <f t="shared" si="0"/>
        <v>5.1535451349738012E-2</v>
      </c>
      <c r="E22" s="12">
        <v>797</v>
      </c>
      <c r="G22" s="23">
        <v>2006</v>
      </c>
      <c r="H22" s="44">
        <v>900</v>
      </c>
      <c r="I22" s="44">
        <v>21015</v>
      </c>
      <c r="J22" s="20">
        <f t="shared" si="1"/>
        <v>4.2826552462526764E-2</v>
      </c>
      <c r="K22" s="44">
        <v>1680</v>
      </c>
      <c r="L22" s="44">
        <v>19426</v>
      </c>
      <c r="M22" s="20">
        <f t="shared" si="2"/>
        <v>8.6482034386904147E-2</v>
      </c>
    </row>
    <row r="23" spans="1:13" ht="15" customHeight="1" x14ac:dyDescent="0.35">
      <c r="A23" s="23">
        <v>2010</v>
      </c>
      <c r="B23" s="44">
        <v>992</v>
      </c>
      <c r="C23" s="44">
        <v>17139</v>
      </c>
      <c r="D23" s="62">
        <f t="shared" si="0"/>
        <v>5.7879689596825955E-2</v>
      </c>
      <c r="E23" s="12">
        <v>923</v>
      </c>
      <c r="G23" s="23">
        <v>2007</v>
      </c>
      <c r="H23" s="44">
        <v>1182</v>
      </c>
      <c r="I23" s="44">
        <v>29210</v>
      </c>
      <c r="J23" s="20">
        <f t="shared" si="1"/>
        <v>4.046559397466621E-2</v>
      </c>
      <c r="K23" s="44">
        <v>2100</v>
      </c>
      <c r="L23" s="44">
        <v>19948</v>
      </c>
      <c r="M23" s="20">
        <f t="shared" si="2"/>
        <v>0.10527371165029076</v>
      </c>
    </row>
    <row r="24" spans="1:13" ht="15" customHeight="1" x14ac:dyDescent="0.35">
      <c r="A24" s="23">
        <v>2011</v>
      </c>
      <c r="B24" s="44">
        <v>1048</v>
      </c>
      <c r="C24" s="44">
        <v>15641</v>
      </c>
      <c r="D24" s="62">
        <f t="shared" si="0"/>
        <v>6.7003388530145133E-2</v>
      </c>
      <c r="E24" s="12">
        <v>1032</v>
      </c>
      <c r="G24" s="23">
        <v>2008</v>
      </c>
      <c r="H24" s="44">
        <v>1370</v>
      </c>
      <c r="I24" s="44">
        <v>38448</v>
      </c>
      <c r="J24" s="20">
        <f t="shared" si="1"/>
        <v>3.5632542655014567E-2</v>
      </c>
      <c r="K24" s="44">
        <v>1200</v>
      </c>
      <c r="L24" s="44">
        <v>11738</v>
      </c>
      <c r="M24" s="20">
        <f t="shared" si="2"/>
        <v>0.10223206679161698</v>
      </c>
    </row>
    <row r="25" spans="1:13" ht="15" customHeight="1" x14ac:dyDescent="0.35">
      <c r="A25" s="23">
        <v>2012</v>
      </c>
      <c r="B25" s="44">
        <v>1337</v>
      </c>
      <c r="C25" s="44">
        <v>18668</v>
      </c>
      <c r="D25" s="62">
        <f t="shared" si="0"/>
        <v>7.1619884293979003E-2</v>
      </c>
      <c r="E25" s="12">
        <v>1194</v>
      </c>
      <c r="G25" s="23">
        <v>2009</v>
      </c>
      <c r="H25" s="44">
        <v>780</v>
      </c>
      <c r="I25" s="44">
        <v>20210</v>
      </c>
      <c r="J25" s="20">
        <f t="shared" si="1"/>
        <v>3.8594755071746659E-2</v>
      </c>
      <c r="K25" s="44">
        <v>1400</v>
      </c>
      <c r="L25" s="44">
        <v>15077</v>
      </c>
      <c r="M25" s="20">
        <f t="shared" si="2"/>
        <v>9.2856669098627054E-2</v>
      </c>
    </row>
    <row r="26" spans="1:13" ht="15" customHeight="1" x14ac:dyDescent="0.35">
      <c r="A26" s="23">
        <v>2013</v>
      </c>
      <c r="B26" s="44">
        <v>1675</v>
      </c>
      <c r="C26" s="44">
        <v>24035</v>
      </c>
      <c r="D26" s="62">
        <f t="shared" si="0"/>
        <v>6.9690035365092579E-2</v>
      </c>
      <c r="E26" s="12">
        <v>1294</v>
      </c>
      <c r="G26" s="23">
        <v>2010</v>
      </c>
      <c r="H26" s="44">
        <v>916</v>
      </c>
      <c r="I26" s="44">
        <v>21080</v>
      </c>
      <c r="J26" s="20">
        <f t="shared" si="1"/>
        <v>4.3453510436432641E-2</v>
      </c>
      <c r="K26" s="44">
        <v>1650</v>
      </c>
      <c r="L26" s="44">
        <v>17139</v>
      </c>
      <c r="M26" s="20">
        <f t="shared" si="2"/>
        <v>9.627166112375285E-2</v>
      </c>
    </row>
    <row r="27" spans="1:13" ht="15" customHeight="1" x14ac:dyDescent="0.35">
      <c r="A27" s="23">
        <v>2014</v>
      </c>
      <c r="B27" s="44">
        <v>1974</v>
      </c>
      <c r="C27" s="44">
        <v>25069</v>
      </c>
      <c r="D27" s="62">
        <f t="shared" si="0"/>
        <v>7.8742670230164749E-2</v>
      </c>
      <c r="E27" s="12">
        <v>1411</v>
      </c>
      <c r="G27" s="23">
        <v>2011</v>
      </c>
      <c r="H27" s="44">
        <v>870</v>
      </c>
      <c r="I27" s="44">
        <v>22466</v>
      </c>
      <c r="J27" s="20">
        <f t="shared" si="1"/>
        <v>3.8725184723582301E-2</v>
      </c>
      <c r="K27" s="44">
        <v>1450</v>
      </c>
      <c r="L27" s="44">
        <v>15641</v>
      </c>
      <c r="M27" s="20">
        <f t="shared" si="2"/>
        <v>9.2705070008311491E-2</v>
      </c>
    </row>
    <row r="28" spans="1:13" ht="15" customHeight="1" x14ac:dyDescent="0.35">
      <c r="A28" s="23">
        <v>2015</v>
      </c>
      <c r="B28" s="44">
        <v>2101</v>
      </c>
      <c r="C28" s="44">
        <v>25068</v>
      </c>
      <c r="D28" s="62">
        <f t="shared" si="0"/>
        <v>8.3812031274932183E-2</v>
      </c>
      <c r="E28" s="12">
        <v>1594</v>
      </c>
      <c r="G28" s="23">
        <v>2012</v>
      </c>
      <c r="H28" s="44">
        <v>810</v>
      </c>
      <c r="I28" s="44">
        <v>18498</v>
      </c>
      <c r="J28" s="20">
        <f t="shared" si="1"/>
        <v>4.3788517677586763E-2</v>
      </c>
      <c r="K28" s="44">
        <v>1700</v>
      </c>
      <c r="L28" s="44">
        <v>18668</v>
      </c>
      <c r="M28" s="20">
        <f t="shared" si="2"/>
        <v>9.1064923934004713E-2</v>
      </c>
    </row>
    <row r="29" spans="1:13" ht="15" customHeight="1" x14ac:dyDescent="0.35">
      <c r="A29" s="23">
        <v>2016</v>
      </c>
      <c r="B29" s="44">
        <v>2524</v>
      </c>
      <c r="C29" s="44">
        <v>27352</v>
      </c>
      <c r="D29" s="62">
        <f t="shared" si="0"/>
        <v>9.2278443989470604E-2</v>
      </c>
      <c r="E29" s="12">
        <v>1716</v>
      </c>
      <c r="G29" s="23">
        <v>2013</v>
      </c>
      <c r="H29" s="44">
        <v>1046</v>
      </c>
      <c r="I29" s="44">
        <v>19131</v>
      </c>
      <c r="J29" s="20">
        <f t="shared" si="1"/>
        <v>5.4675657310124928E-2</v>
      </c>
      <c r="K29" s="44">
        <v>2200</v>
      </c>
      <c r="L29" s="44">
        <v>24035</v>
      </c>
      <c r="M29" s="20">
        <f t="shared" si="2"/>
        <v>9.1533180778032033E-2</v>
      </c>
    </row>
    <row r="30" spans="1:13" ht="15" customHeight="1" x14ac:dyDescent="0.35">
      <c r="A30" s="23">
        <v>2017</v>
      </c>
      <c r="B30" s="44">
        <v>3401</v>
      </c>
      <c r="C30" s="44">
        <v>32121</v>
      </c>
      <c r="D30" s="62">
        <f t="shared" si="0"/>
        <v>0.1058808878926559</v>
      </c>
      <c r="E30" s="12">
        <v>1832</v>
      </c>
      <c r="G30" s="23">
        <v>2014</v>
      </c>
      <c r="H30" s="44">
        <v>1020</v>
      </c>
      <c r="I30" s="44">
        <v>22500</v>
      </c>
      <c r="J30" s="20">
        <f t="shared" si="1"/>
        <v>4.5333333333333337E-2</v>
      </c>
      <c r="K30" s="44">
        <v>2350</v>
      </c>
      <c r="L30" s="44">
        <v>25069</v>
      </c>
      <c r="M30" s="20">
        <f t="shared" si="2"/>
        <v>9.3741274083529461E-2</v>
      </c>
    </row>
    <row r="31" spans="1:13" ht="15" customHeight="1" x14ac:dyDescent="0.35">
      <c r="A31" s="23">
        <v>2018</v>
      </c>
      <c r="B31" s="44">
        <v>3371</v>
      </c>
      <c r="C31" s="44">
        <v>30437</v>
      </c>
      <c r="D31" s="62">
        <f t="shared" si="0"/>
        <v>0.11075335939810099</v>
      </c>
      <c r="E31" s="12">
        <v>2057</v>
      </c>
      <c r="G31" s="23">
        <v>2015</v>
      </c>
      <c r="H31" s="44">
        <v>912</v>
      </c>
      <c r="I31" s="44">
        <v>23097</v>
      </c>
      <c r="J31" s="20">
        <f t="shared" si="1"/>
        <v>3.9485647486686586E-2</v>
      </c>
      <c r="K31" s="44">
        <v>2450</v>
      </c>
      <c r="L31" s="44">
        <v>25068</v>
      </c>
      <c r="M31" s="20">
        <f t="shared" si="2"/>
        <v>9.773416307643211E-2</v>
      </c>
    </row>
    <row r="32" spans="1:13" ht="15" customHeight="1" x14ac:dyDescent="0.35">
      <c r="A32" s="23">
        <v>2019</v>
      </c>
      <c r="B32" s="44">
        <v>4396</v>
      </c>
      <c r="C32" s="44">
        <v>36469</v>
      </c>
      <c r="D32" s="62">
        <f t="shared" si="0"/>
        <v>0.12054073322547917</v>
      </c>
      <c r="E32" s="12">
        <v>2176</v>
      </c>
      <c r="G32" s="23">
        <v>2016</v>
      </c>
      <c r="H32" s="44">
        <v>850</v>
      </c>
      <c r="I32" s="44">
        <v>22800</v>
      </c>
      <c r="J32" s="20">
        <f t="shared" si="1"/>
        <v>3.7280701754385963E-2</v>
      </c>
      <c r="K32" s="44">
        <v>2300</v>
      </c>
      <c r="L32" s="44">
        <v>27352</v>
      </c>
      <c r="M32" s="20">
        <f t="shared" si="2"/>
        <v>8.4088914887393978E-2</v>
      </c>
    </row>
    <row r="33" spans="1:13" ht="15" customHeight="1" x14ac:dyDescent="0.35">
      <c r="A33" s="23">
        <v>2020</v>
      </c>
      <c r="B33" s="44">
        <v>5447</v>
      </c>
      <c r="C33" s="44">
        <v>40720</v>
      </c>
      <c r="D33" s="62">
        <f t="shared" si="0"/>
        <v>0.13376719056974459</v>
      </c>
      <c r="E33" s="12">
        <v>2296</v>
      </c>
      <c r="G33" s="23">
        <v>2017</v>
      </c>
      <c r="H33" s="44">
        <v>1050</v>
      </c>
      <c r="I33" s="44">
        <v>27510</v>
      </c>
      <c r="J33" s="20">
        <f t="shared" si="1"/>
        <v>3.8167938931297711E-2</v>
      </c>
      <c r="K33" s="44">
        <v>2850</v>
      </c>
      <c r="L33" s="44">
        <v>32121</v>
      </c>
      <c r="M33" s="20">
        <f t="shared" si="2"/>
        <v>8.8727001027365276E-2</v>
      </c>
    </row>
    <row r="34" spans="1:13" ht="15" customHeight="1" x14ac:dyDescent="0.35">
      <c r="A34" s="23">
        <v>2021</v>
      </c>
      <c r="B34" s="44">
        <v>7211</v>
      </c>
      <c r="C34" s="44">
        <v>48560</v>
      </c>
      <c r="D34" s="62">
        <f t="shared" si="0"/>
        <v>0.14849670510708401</v>
      </c>
      <c r="E34" s="12">
        <v>2570</v>
      </c>
      <c r="G34" s="23">
        <v>2018</v>
      </c>
      <c r="H34" s="44">
        <v>1131</v>
      </c>
      <c r="I34" s="44">
        <v>32853</v>
      </c>
      <c r="J34" s="20">
        <f t="shared" si="1"/>
        <v>3.4426079810063008E-2</v>
      </c>
      <c r="K34" s="44">
        <v>3100</v>
      </c>
      <c r="L34" s="44">
        <v>30437</v>
      </c>
      <c r="M34" s="20">
        <f t="shared" si="2"/>
        <v>0.10184972237736965</v>
      </c>
    </row>
    <row r="35" spans="1:13" ht="15" customHeight="1" x14ac:dyDescent="0.35">
      <c r="A35" s="23">
        <v>2022</v>
      </c>
      <c r="B35" s="44">
        <v>6447</v>
      </c>
      <c r="C35" s="44">
        <v>40360</v>
      </c>
      <c r="D35" s="62">
        <f t="shared" si="0"/>
        <v>0.15973736372646186</v>
      </c>
      <c r="E35" s="12">
        <v>2844</v>
      </c>
      <c r="G35" s="23">
        <v>2019</v>
      </c>
      <c r="H35" s="44">
        <v>1200</v>
      </c>
      <c r="I35" s="44">
        <v>30280</v>
      </c>
      <c r="J35" s="20">
        <f t="shared" si="1"/>
        <v>3.9630118890356669E-2</v>
      </c>
      <c r="K35" s="44">
        <v>3500</v>
      </c>
      <c r="L35" s="44">
        <v>36469</v>
      </c>
      <c r="M35" s="20">
        <f t="shared" si="2"/>
        <v>9.5971921357865586E-2</v>
      </c>
    </row>
    <row r="36" spans="1:13" ht="15" customHeight="1" x14ac:dyDescent="0.35">
      <c r="A36" s="23">
        <v>2023</v>
      </c>
      <c r="B36" s="44">
        <v>8115</v>
      </c>
      <c r="C36" s="44">
        <v>50788</v>
      </c>
      <c r="D36" s="62">
        <f t="shared" si="0"/>
        <v>0.15978183822950304</v>
      </c>
      <c r="E36" s="12">
        <v>3108</v>
      </c>
      <c r="G36" s="23">
        <v>2020</v>
      </c>
      <c r="H36" s="44">
        <v>1580</v>
      </c>
      <c r="I36" s="44">
        <v>55780</v>
      </c>
      <c r="J36" s="20">
        <f t="shared" si="1"/>
        <v>2.8325564718537109E-2</v>
      </c>
      <c r="K36" s="44">
        <v>3800</v>
      </c>
      <c r="L36" s="44">
        <v>40720</v>
      </c>
      <c r="M36" s="20">
        <f t="shared" si="2"/>
        <v>9.3320235756385067E-2</v>
      </c>
    </row>
    <row r="37" spans="1:13" ht="15" customHeight="1" x14ac:dyDescent="0.35">
      <c r="A37" s="23">
        <v>2024</v>
      </c>
      <c r="B37" s="44">
        <v>10330</v>
      </c>
      <c r="C37" s="44">
        <v>61500</v>
      </c>
      <c r="D37" s="62">
        <f t="shared" si="0"/>
        <v>0.16796747967479675</v>
      </c>
      <c r="E37" s="12">
        <v>3540</v>
      </c>
      <c r="G37" s="23">
        <v>2021</v>
      </c>
      <c r="H37" s="44">
        <v>1650</v>
      </c>
      <c r="I37" s="44">
        <v>59200</v>
      </c>
      <c r="J37" s="20">
        <f t="shared" si="1"/>
        <v>2.7871621621621621E-2</v>
      </c>
      <c r="K37" s="44">
        <v>4500</v>
      </c>
      <c r="L37" s="44">
        <v>48560</v>
      </c>
      <c r="M37" s="20">
        <f t="shared" si="2"/>
        <v>9.2668863261943984E-2</v>
      </c>
    </row>
    <row r="38" spans="1:13" ht="15" customHeight="1" x14ac:dyDescent="0.35">
      <c r="A38" s="23">
        <v>2025</v>
      </c>
      <c r="B38" s="44">
        <v>13460</v>
      </c>
      <c r="C38" s="44">
        <v>64500</v>
      </c>
      <c r="D38" s="62">
        <f t="shared" si="0"/>
        <v>0.20868217054263566</v>
      </c>
      <c r="E38" s="12">
        <v>4200</v>
      </c>
      <c r="G38" s="23">
        <v>2022</v>
      </c>
      <c r="H38" s="44">
        <v>1180</v>
      </c>
      <c r="I38" s="44">
        <v>53200</v>
      </c>
      <c r="J38" s="20">
        <f t="shared" si="1"/>
        <v>2.218045112781955E-2</v>
      </c>
      <c r="K38" s="44">
        <v>3500</v>
      </c>
      <c r="L38" s="44">
        <v>40360</v>
      </c>
      <c r="M38" s="20">
        <f t="shared" si="2"/>
        <v>8.67195242814668E-2</v>
      </c>
    </row>
    <row r="39" spans="1:13" ht="15" customHeight="1" x14ac:dyDescent="0.35">
      <c r="G39" s="23">
        <v>2023</v>
      </c>
      <c r="H39" s="44">
        <v>1250</v>
      </c>
      <c r="I39" s="44">
        <v>56500</v>
      </c>
      <c r="J39" s="20">
        <f t="shared" si="1"/>
        <v>2.2123893805309734E-2</v>
      </c>
      <c r="K39" s="44">
        <v>3900</v>
      </c>
      <c r="L39" s="44">
        <v>50788</v>
      </c>
      <c r="M39" s="20">
        <f t="shared" si="2"/>
        <v>7.6789792864456169E-2</v>
      </c>
    </row>
    <row r="40" spans="1:13" ht="15" customHeight="1" x14ac:dyDescent="0.35">
      <c r="A40" s="56" t="s">
        <v>238</v>
      </c>
      <c r="B40" s="10"/>
      <c r="C40" s="10"/>
      <c r="D40" s="10"/>
      <c r="E40" s="10"/>
      <c r="G40" s="23">
        <v>2024</v>
      </c>
      <c r="H40" s="44">
        <v>1350</v>
      </c>
      <c r="I40" s="44">
        <v>59400</v>
      </c>
      <c r="J40" s="20">
        <f t="shared" si="1"/>
        <v>2.2727272727272728E-2</v>
      </c>
      <c r="K40" s="44">
        <v>3950</v>
      </c>
      <c r="L40" s="44">
        <v>55200</v>
      </c>
      <c r="M40" s="20">
        <f t="shared" si="2"/>
        <v>7.1557971014492752E-2</v>
      </c>
    </row>
    <row r="41" spans="1:13" ht="15" customHeight="1" x14ac:dyDescent="0.35">
      <c r="A41" s="22" t="s">
        <v>239</v>
      </c>
      <c r="B41" s="37">
        <f>B10</f>
        <v>6.7</v>
      </c>
      <c r="D41" s="62">
        <f>D10</f>
        <v>6.1580882352941179E-4</v>
      </c>
      <c r="G41" s="23">
        <v>2025</v>
      </c>
      <c r="H41" s="44">
        <v>1400</v>
      </c>
      <c r="I41" s="44">
        <v>62000</v>
      </c>
      <c r="J41" s="20">
        <f t="shared" si="1"/>
        <v>2.2580645161290321E-2</v>
      </c>
      <c r="K41" s="44">
        <v>4000</v>
      </c>
      <c r="L41" s="44">
        <v>58000</v>
      </c>
      <c r="M41" s="20">
        <f t="shared" si="2"/>
        <v>6.8965517241379309E-2</v>
      </c>
    </row>
    <row r="42" spans="1:13" ht="15" customHeight="1" x14ac:dyDescent="0.35">
      <c r="A42" s="22" t="s">
        <v>240</v>
      </c>
      <c r="B42" s="37">
        <f>B15</f>
        <v>102</v>
      </c>
      <c r="D42" s="62">
        <f>D15</f>
        <v>1.0150263707831625E-2</v>
      </c>
    </row>
    <row r="43" spans="1:13" ht="15" customHeight="1" x14ac:dyDescent="0.35">
      <c r="A43" s="22" t="s">
        <v>241</v>
      </c>
      <c r="B43" s="37">
        <f>B20</f>
        <v>608</v>
      </c>
      <c r="D43" s="62">
        <f>D20</f>
        <v>3.0479246039703228E-2</v>
      </c>
      <c r="G43" s="56" t="s">
        <v>238</v>
      </c>
      <c r="H43" s="10"/>
      <c r="I43" s="10"/>
      <c r="J43" s="10"/>
      <c r="K43" s="10"/>
      <c r="L43" s="10"/>
      <c r="M43" s="10"/>
    </row>
    <row r="44" spans="1:13" ht="15" customHeight="1" x14ac:dyDescent="0.35">
      <c r="A44" s="22" t="s">
        <v>242</v>
      </c>
      <c r="B44" s="37">
        <f>B25</f>
        <v>1337</v>
      </c>
      <c r="D44" s="62">
        <f>D25</f>
        <v>7.1619884293979003E-2</v>
      </c>
      <c r="G44" s="11" t="s">
        <v>243</v>
      </c>
      <c r="J44" s="20">
        <f>AVERAGE(J6:J41)</f>
        <v>4.1650407474218137E-2</v>
      </c>
    </row>
    <row r="45" spans="1:13" ht="15" customHeight="1" x14ac:dyDescent="0.35">
      <c r="A45" s="22" t="s">
        <v>244</v>
      </c>
      <c r="B45" s="37">
        <f>B35</f>
        <v>6447</v>
      </c>
      <c r="D45" s="62">
        <f>D35</f>
        <v>0.15973736372646186</v>
      </c>
      <c r="G45" s="11" t="s">
        <v>245</v>
      </c>
      <c r="M45" s="20">
        <f>AVERAGE(M6:M41)</f>
        <v>7.128558903297473E-2</v>
      </c>
    </row>
    <row r="46" spans="1:13" ht="15" customHeight="1" x14ac:dyDescent="0.35">
      <c r="A46" s="22" t="s">
        <v>246</v>
      </c>
      <c r="B46" s="37">
        <f>B38</f>
        <v>13460</v>
      </c>
      <c r="D46" s="62">
        <f>D38</f>
        <v>0.20868217054263566</v>
      </c>
      <c r="G46" s="11" t="s">
        <v>247</v>
      </c>
      <c r="J46" s="20">
        <f>MAX(J6:J41)</f>
        <v>6.5789473684210523E-2</v>
      </c>
    </row>
    <row r="47" spans="1:13" ht="15" customHeight="1" x14ac:dyDescent="0.35">
      <c r="G47" s="11" t="s">
        <v>248</v>
      </c>
      <c r="M47" s="20">
        <f>MAX(M6:M41)</f>
        <v>0.10527371165029076</v>
      </c>
    </row>
    <row r="48" spans="1:13" ht="15" customHeight="1" x14ac:dyDescent="0.35">
      <c r="A48" s="63" t="s">
        <v>249</v>
      </c>
      <c r="B48" s="1" t="s">
        <v>250</v>
      </c>
      <c r="C48" s="1"/>
      <c r="D48" s="1"/>
      <c r="E48" s="1"/>
      <c r="G48" s="11" t="s">
        <v>251</v>
      </c>
      <c r="J48" s="20">
        <f>MIN(J6:J41)</f>
        <v>2.2123893805309734E-2</v>
      </c>
    </row>
    <row r="49" spans="1:13" ht="15" customHeight="1" x14ac:dyDescent="0.35">
      <c r="B49" s="1"/>
      <c r="C49" s="1"/>
      <c r="D49" s="1"/>
      <c r="E49" s="1"/>
    </row>
    <row r="50" spans="1:13" ht="15" customHeight="1" x14ac:dyDescent="0.35">
      <c r="G50" s="63" t="s">
        <v>249</v>
      </c>
      <c r="H50" s="1" t="s">
        <v>252</v>
      </c>
      <c r="I50" s="1"/>
      <c r="J50" s="1"/>
      <c r="K50" s="1"/>
      <c r="L50" s="1"/>
      <c r="M50" s="1"/>
    </row>
    <row r="51" spans="1:13" ht="15" customHeight="1" x14ac:dyDescent="0.35">
      <c r="A51" s="64" t="s">
        <v>253</v>
      </c>
      <c r="B51" s="14" t="s">
        <v>254</v>
      </c>
      <c r="H51" s="1"/>
      <c r="I51" s="1"/>
      <c r="J51" s="1"/>
      <c r="K51" s="1"/>
      <c r="L51" s="1"/>
      <c r="M51" s="1"/>
    </row>
    <row r="52" spans="1:13" ht="15" customHeight="1" x14ac:dyDescent="0.35">
      <c r="B52" s="14" t="s">
        <v>255</v>
      </c>
    </row>
    <row r="53" spans="1:13" ht="15" customHeight="1" x14ac:dyDescent="0.35">
      <c r="A53" s="64" t="s">
        <v>256</v>
      </c>
      <c r="B53" s="14" t="s">
        <v>257</v>
      </c>
      <c r="G53" s="64" t="s">
        <v>253</v>
      </c>
      <c r="H53" s="14" t="s">
        <v>258</v>
      </c>
    </row>
    <row r="54" spans="1:13" ht="15" customHeight="1" x14ac:dyDescent="0.35">
      <c r="A54" s="58" t="s">
        <v>259</v>
      </c>
      <c r="B54" s="13" t="s">
        <v>260</v>
      </c>
      <c r="D54" s="14" t="s">
        <v>58</v>
      </c>
      <c r="G54" s="58" t="s">
        <v>261</v>
      </c>
      <c r="H54" s="13" t="s">
        <v>262</v>
      </c>
      <c r="J54" s="14" t="s">
        <v>263</v>
      </c>
    </row>
    <row r="55" spans="1:13" ht="15" customHeight="1" x14ac:dyDescent="0.35">
      <c r="A55" s="58" t="s">
        <v>264</v>
      </c>
      <c r="B55" s="13" t="s">
        <v>265</v>
      </c>
      <c r="D55" s="14" t="s">
        <v>48</v>
      </c>
      <c r="G55" s="58" t="s">
        <v>266</v>
      </c>
      <c r="H55" s="13" t="s">
        <v>267</v>
      </c>
      <c r="J55" s="14" t="s">
        <v>268</v>
      </c>
    </row>
    <row r="56" spans="1:13" ht="15" customHeight="1" x14ac:dyDescent="0.35">
      <c r="A56" s="58" t="s">
        <v>269</v>
      </c>
      <c r="B56" s="13" t="s">
        <v>270</v>
      </c>
      <c r="D56" s="14" t="s">
        <v>271</v>
      </c>
      <c r="G56" s="58" t="s">
        <v>272</v>
      </c>
      <c r="H56" s="13" t="s">
        <v>273</v>
      </c>
      <c r="J56" s="14" t="s">
        <v>27</v>
      </c>
    </row>
    <row r="57" spans="1:13" ht="15" customHeight="1" x14ac:dyDescent="0.35">
      <c r="A57" s="58" t="s">
        <v>274</v>
      </c>
      <c r="B57" s="13" t="s">
        <v>275</v>
      </c>
      <c r="D57" s="14" t="s">
        <v>27</v>
      </c>
      <c r="G57" s="58" t="s">
        <v>276</v>
      </c>
      <c r="H57" s="13" t="s">
        <v>277</v>
      </c>
      <c r="J57" s="14" t="s">
        <v>278</v>
      </c>
    </row>
    <row r="58" spans="1:13" ht="15" customHeight="1" x14ac:dyDescent="0.35">
      <c r="A58" s="58" t="s">
        <v>232</v>
      </c>
      <c r="B58" s="13" t="s">
        <v>279</v>
      </c>
      <c r="D58" s="14" t="s">
        <v>280</v>
      </c>
      <c r="G58" s="58" t="s">
        <v>281</v>
      </c>
      <c r="H58" s="13" t="s">
        <v>282</v>
      </c>
      <c r="J58" s="25" t="s">
        <v>283</v>
      </c>
    </row>
    <row r="59" spans="1:13" ht="15" customHeight="1" x14ac:dyDescent="0.35">
      <c r="A59" s="65" t="s">
        <v>284</v>
      </c>
      <c r="B59" s="66" t="s">
        <v>285</v>
      </c>
      <c r="C59" s="10"/>
      <c r="D59" s="10"/>
      <c r="E59" s="10"/>
      <c r="F59" s="10"/>
      <c r="G59" s="10"/>
      <c r="H59" s="10"/>
      <c r="I59" s="10"/>
    </row>
    <row r="60" spans="1:13" ht="23.25" customHeight="1" x14ac:dyDescent="0.35">
      <c r="A60" s="61"/>
      <c r="B60" s="61" t="s">
        <v>286</v>
      </c>
      <c r="C60" s="61" t="s">
        <v>287</v>
      </c>
      <c r="D60" s="61" t="s">
        <v>288</v>
      </c>
      <c r="E60" s="61" t="s">
        <v>289</v>
      </c>
      <c r="F60" s="61" t="s">
        <v>290</v>
      </c>
      <c r="G60" s="61" t="s">
        <v>291</v>
      </c>
      <c r="H60" s="61" t="s">
        <v>292</v>
      </c>
      <c r="I60" s="61" t="s">
        <v>293</v>
      </c>
    </row>
    <row r="61" spans="1:13" ht="15" customHeight="1" x14ac:dyDescent="0.35">
      <c r="A61" s="11" t="s">
        <v>294</v>
      </c>
      <c r="B61" s="23">
        <v>1993</v>
      </c>
      <c r="C61" s="62">
        <f>D10</f>
        <v>6.1580882352941179E-4</v>
      </c>
      <c r="D61" s="62">
        <f>D15</f>
        <v>1.0150263707831625E-2</v>
      </c>
      <c r="E61" s="62">
        <f>D20</f>
        <v>3.0479246039703228E-2</v>
      </c>
      <c r="F61" s="62">
        <f>D25</f>
        <v>7.1619884293979003E-2</v>
      </c>
      <c r="G61" s="62">
        <f>D38</f>
        <v>0.20868217054263566</v>
      </c>
      <c r="H61" s="11" t="s">
        <v>295</v>
      </c>
      <c r="I61" s="67" t="s">
        <v>296</v>
      </c>
    </row>
    <row r="62" spans="1:13" ht="15" customHeight="1" x14ac:dyDescent="0.35">
      <c r="A62" s="11" t="s">
        <v>297</v>
      </c>
      <c r="B62" s="23">
        <v>1990</v>
      </c>
      <c r="C62" s="62">
        <f>J10</f>
        <v>5.7049714751426242E-2</v>
      </c>
      <c r="D62" s="62">
        <f>J15</f>
        <v>4.1974267032271674E-2</v>
      </c>
      <c r="E62" s="62">
        <f>J20</f>
        <v>4.4758133930108454E-2</v>
      </c>
      <c r="F62" s="62">
        <f>J25</f>
        <v>3.8594755071746659E-2</v>
      </c>
      <c r="G62" s="62">
        <f>J41</f>
        <v>2.2580645161290321E-2</v>
      </c>
      <c r="H62" s="11" t="s">
        <v>298</v>
      </c>
      <c r="I62" s="67" t="s">
        <v>299</v>
      </c>
    </row>
    <row r="63" spans="1:13" ht="15" customHeight="1" x14ac:dyDescent="0.35">
      <c r="A63" s="68" t="s">
        <v>300</v>
      </c>
      <c r="B63" s="69">
        <v>2026</v>
      </c>
      <c r="C63" s="70">
        <f>Projection!F21</f>
        <v>1.201060606060606E-2</v>
      </c>
      <c r="D63" s="70">
        <f>Projection!K21</f>
        <v>6.9696969696969702E-2</v>
      </c>
      <c r="E63" s="71" t="s">
        <v>301</v>
      </c>
      <c r="F63" s="71" t="s">
        <v>301</v>
      </c>
      <c r="G63" s="71" t="s">
        <v>301</v>
      </c>
      <c r="H63" s="68" t="s">
        <v>302</v>
      </c>
      <c r="I63" s="72" t="s">
        <v>303</v>
      </c>
    </row>
    <row r="65" spans="1:13" ht="15" customHeight="1" x14ac:dyDescent="0.35">
      <c r="A65" s="63" t="s">
        <v>304</v>
      </c>
      <c r="B65" s="1" t="s">
        <v>305</v>
      </c>
      <c r="C65" s="1"/>
      <c r="D65" s="1"/>
      <c r="E65" s="1"/>
      <c r="F65" s="1"/>
      <c r="G65" s="1"/>
      <c r="H65" s="1"/>
      <c r="I65" s="1"/>
    </row>
    <row r="66" spans="1:13" ht="15" customHeight="1" x14ac:dyDescent="0.35">
      <c r="B66" s="1"/>
      <c r="C66" s="1"/>
      <c r="D66" s="1"/>
      <c r="E66" s="1"/>
      <c r="F66" s="1"/>
      <c r="G66" s="1"/>
      <c r="H66" s="1"/>
      <c r="I66" s="1"/>
    </row>
    <row r="68" spans="1:13" ht="15" customHeight="1" x14ac:dyDescent="0.35">
      <c r="A68" s="59" t="s">
        <v>306</v>
      </c>
      <c r="B68" s="2" t="s">
        <v>307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" customHeight="1" x14ac:dyDescent="0.3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</sheetData>
  <mergeCells count="4">
    <mergeCell ref="B48:E49"/>
    <mergeCell ref="H50:M51"/>
    <mergeCell ref="B65:I66"/>
    <mergeCell ref="B68:M69"/>
  </mergeCells>
  <hyperlinks>
    <hyperlink ref="C12" r:id="rId1" display="https://www.icifactbook.org/pdf/2025-factbook.pdf" xr:uid="{00000000-0004-0000-0400-000000000000}"/>
    <hyperlink ref="C13" r:id="rId2" display="https://www.ici.org/25-view-factbook-takeaways" xr:uid="{00000000-0004-0000-0400-000001000000}"/>
    <hyperlink ref="C14" r:id="rId3" display="https://www.americancentury.com/insights/etfs-defying-gravity/" xr:uid="{00000000-0004-0000-0400-000002000000}"/>
    <hyperlink ref="C15" r:id="rId4" display="https://www.sifma.org/research/statistics/fact-book" xr:uid="{00000000-0004-0000-0400-000003000000}"/>
    <hyperlink ref="C16" r:id="rId5" display="https://www.ici.org/research/stats/etf_flows" xr:uid="{00000000-0004-0000-0400-000004000000}"/>
    <hyperlink ref="C25" r:id="rId6" display="https://www.adrbnymellon.com/market-review" xr:uid="{00000000-0004-0000-0400-000005000000}"/>
    <hyperlink ref="C26" r:id="rId7" display="https://www.adrbnymellon.com/directory/dr-directory" xr:uid="{00000000-0004-0000-0400-000006000000}"/>
    <hyperlink ref="C27" r:id="rId8" display="https://www.sifma.org/research/statistics/fact-book" xr:uid="{00000000-0004-0000-0400-000007000000}"/>
    <hyperlink ref="C28" r:id="rId9" display="https://www.world-exchanges.org/our-work/statistics" xr:uid="{00000000-0004-0000-0400-000008000000}"/>
    <hyperlink ref="B51" r:id="rId10" xr:uid="{00000000-0004-0000-0400-000009000000}"/>
    <hyperlink ref="B52" r:id="rId11" xr:uid="{00000000-0004-0000-0400-00000A000000}"/>
    <hyperlink ref="B53" r:id="rId12" xr:uid="{00000000-0004-0000-0400-00000B000000}"/>
    <hyperlink ref="H53" r:id="rId13" xr:uid="{00000000-0004-0000-0400-00000C000000}"/>
    <hyperlink ref="B54" r:id="rId14" xr:uid="{00000000-0004-0000-0400-00000D000000}"/>
    <hyperlink ref="D54" r:id="rId15" xr:uid="{00000000-0004-0000-0400-00000E000000}"/>
    <hyperlink ref="H54" r:id="rId16" xr:uid="{00000000-0004-0000-0400-00000F000000}"/>
    <hyperlink ref="J54" r:id="rId17" xr:uid="{00000000-0004-0000-0400-000010000000}"/>
    <hyperlink ref="D55" r:id="rId18" xr:uid="{00000000-0004-0000-0400-000011000000}"/>
    <hyperlink ref="H55" r:id="rId19" xr:uid="{00000000-0004-0000-0400-000012000000}"/>
    <hyperlink ref="J55" r:id="rId20" xr:uid="{00000000-0004-0000-0400-000013000000}"/>
    <hyperlink ref="D56" r:id="rId21" xr:uid="{00000000-0004-0000-0400-000014000000}"/>
    <hyperlink ref="H56" r:id="rId22" xr:uid="{00000000-0004-0000-0400-000015000000}"/>
    <hyperlink ref="J56" r:id="rId23" xr:uid="{00000000-0004-0000-0400-000016000000}"/>
    <hyperlink ref="D57" r:id="rId24" xr:uid="{00000000-0004-0000-0400-000017000000}"/>
    <hyperlink ref="J57" r:id="rId25" xr:uid="{00000000-0004-0000-0400-000018000000}"/>
    <hyperlink ref="D58" r:id="rId26" xr:uid="{00000000-0004-0000-0400-000019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Projection</vt:lpstr>
      <vt:lpstr>Revenue Pools</vt:lpstr>
      <vt:lpstr>Scenarios</vt:lpstr>
      <vt:lpstr>Historical Analogues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Sanskar Chindalia</cp:lastModifiedBy>
  <cp:revision>0</cp:revision>
  <dcterms:created xsi:type="dcterms:W3CDTF">2026-06-17T07:12:59Z</dcterms:created>
  <dcterms:modified xsi:type="dcterms:W3CDTF">2026-06-18T04:14:21Z</dcterms:modified>
  <dc:language>en-US</dc:language>
</cp:coreProperties>
</file>