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Sources" sheetId="1" state="visible" r:id="rId1"/>
    <sheet xmlns:r="http://schemas.openxmlformats.org/officeDocument/2006/relationships" name="Assumptions" sheetId="2" state="visible" r:id="rId2"/>
    <sheet xmlns:r="http://schemas.openxmlformats.org/officeDocument/2006/relationships" name="Projection" sheetId="3" state="visible" r:id="rId3"/>
    <sheet xmlns:r="http://schemas.openxmlformats.org/officeDocument/2006/relationships" name="Revenue Pools" sheetId="4" state="visible" r:id="rId4"/>
    <sheet xmlns:r="http://schemas.openxmlformats.org/officeDocument/2006/relationships" name="Scenarios" sheetId="5" state="visible" r:id="rId5"/>
    <sheet xmlns:r="http://schemas.openxmlformats.org/officeDocument/2006/relationships" name="Historical Analogues" sheetId="6" state="visible" r:id="rId6"/>
    <sheet xmlns:r="http://schemas.openxmlformats.org/officeDocument/2006/relationships" name="Audit" sheetId="7" state="visible" r:id="rId7"/>
  </sheets>
  <definedNames/>
  <calcPr calcId="191029" fullCalcOnLoad="1" iterateDelta="0.0001"/>
</workbook>
</file>

<file path=xl/styles.xml><?xml version="1.0" encoding="utf-8"?>
<styleSheet xmlns="http://schemas.openxmlformats.org/spreadsheetml/2006/main">
  <numFmts count="6">
    <numFmt numFmtId="164" formatCode="\$#,##0.0"/>
    <numFmt numFmtId="165" formatCode="0.0%"/>
    <numFmt numFmtId="166" formatCode="\$#,##0"/>
    <numFmt numFmtId="167" formatCode="0.0"/>
    <numFmt numFmtId="168" formatCode="#,##0.0"/>
    <numFmt numFmtId="169" formatCode="\$0.00"/>
  </numFmts>
  <fonts count="29">
    <font>
      <name val="Calibri"/>
      <charset val="1"/>
      <family val="2"/>
      <color theme="1"/>
      <sz val="11"/>
    </font>
    <font>
      <name val="Arial"/>
      <family val="2"/>
      <b val="1"/>
      <color rgb="FF1F4E79"/>
      <sz val="14"/>
    </font>
    <font>
      <name val="Arial"/>
      <family val="2"/>
      <b val="1"/>
      <color rgb="FF1F4E79"/>
      <sz val="11"/>
    </font>
    <font>
      <name val="Arial"/>
      <family val="2"/>
      <b val="1"/>
      <sz val="10"/>
    </font>
    <font>
      <name val="Arial"/>
      <family val="2"/>
      <sz val="10"/>
    </font>
    <font>
      <name val="Arial"/>
      <family val="2"/>
      <color rgb="FF0000FF"/>
      <sz val="10"/>
    </font>
    <font>
      <name val="Arial"/>
      <family val="2"/>
      <i val="1"/>
      <color rgb="FF808080"/>
      <sz val="9"/>
    </font>
    <font>
      <name val="Arial"/>
      <family val="2"/>
      <color rgb="FF0563C1"/>
      <sz val="9"/>
      <u val="single"/>
    </font>
    <font>
      <name val="Arial"/>
      <family val="2"/>
      <color rgb="FF000000"/>
      <sz val="10"/>
    </font>
    <font>
      <name val="Arial"/>
      <family val="2"/>
      <i val="1"/>
      <sz val="9"/>
    </font>
    <font>
      <name val="Arial"/>
      <family val="2"/>
      <i val="1"/>
      <color rgb="FFFF0000"/>
      <sz val="9"/>
    </font>
    <font>
      <name val="Arial"/>
      <family val="2"/>
      <b val="1"/>
      <color rgb="FF1F4E79"/>
      <sz val="9"/>
    </font>
    <font>
      <name val="Arial"/>
      <family val="2"/>
      <color rgb="FF008000"/>
      <sz val="10"/>
    </font>
    <font>
      <name val="Arial"/>
      <family val="2"/>
      <i val="1"/>
      <color rgb="FF808080"/>
      <sz val="10"/>
    </font>
    <font>
      <name val="Arial"/>
      <family val="2"/>
      <b val="1"/>
      <color rgb="FF7030A0"/>
      <sz val="11"/>
    </font>
    <font>
      <name val="Arial"/>
      <family val="2"/>
      <b val="1"/>
      <color rgb="FF7030A0"/>
      <sz val="12"/>
    </font>
    <font>
      <name val="Arial"/>
      <family val="2"/>
      <color rgb="FF808080"/>
      <sz val="9"/>
    </font>
    <font>
      <name val="Arial"/>
      <family val="2"/>
      <b val="1"/>
      <color rgb="FFED7D31"/>
      <sz val="10"/>
    </font>
    <font>
      <name val="Arial"/>
      <family val="2"/>
      <b val="1"/>
      <sz val="9"/>
    </font>
    <font>
      <name val="Arial"/>
      <family val="2"/>
      <b val="1"/>
      <color rgb="FFFF0000"/>
      <sz val="9"/>
    </font>
    <font>
      <name val="Arial"/>
      <family val="2"/>
      <b val="1"/>
      <color rgb="FF1F4E79"/>
      <sz val="13"/>
    </font>
    <font>
      <name val="Arial"/>
      <family val="2"/>
      <i val="1"/>
      <sz val="10"/>
    </font>
    <font>
      <name val="Arial"/>
      <family val="2"/>
      <b val="1"/>
      <color rgb="FF808080"/>
      <sz val="9"/>
    </font>
    <font>
      <name val="Arial"/>
      <family val="2"/>
      <sz val="9"/>
    </font>
    <font>
      <name val="Arial"/>
      <family val="2"/>
      <b val="1"/>
      <color rgb="FF1F4E79"/>
      <sz val="10"/>
    </font>
    <font>
      <b val="1"/>
      <color rgb="001F3864"/>
      <sz val="13"/>
    </font>
    <font>
      <sz val="9"/>
    </font>
    <font>
      <b val="1"/>
      <color rgb="00FFFFFF"/>
      <sz val="10"/>
    </font>
    <font>
      <b val="1"/>
      <sz val="9"/>
    </font>
  </fonts>
  <fills count="11">
    <fill>
      <patternFill/>
    </fill>
    <fill>
      <patternFill patternType="gray125"/>
    </fill>
    <fill>
      <patternFill patternType="solid">
        <fgColor rgb="FFD6E4F0"/>
        <bgColor rgb="FFE8D5F5"/>
      </patternFill>
    </fill>
    <fill>
      <patternFill patternType="solid">
        <fgColor rgb="FFFFFFCC"/>
        <bgColor rgb="FFFFFFFF"/>
      </patternFill>
    </fill>
    <fill>
      <patternFill patternType="solid">
        <fgColor rgb="FFE8D5F5"/>
        <bgColor rgb="FFD6E4F0"/>
      </patternFill>
    </fill>
    <fill>
      <patternFill patternType="solid">
        <fgColor rgb="FFD5C6E8"/>
        <bgColor rgb="FFE8D5F5"/>
      </patternFill>
    </fill>
    <fill>
      <patternFill patternType="solid">
        <fgColor rgb="001F3864"/>
      </patternFill>
    </fill>
    <fill>
      <patternFill patternType="solid">
        <fgColor rgb="00E2EFDA"/>
      </patternFill>
    </fill>
    <fill>
      <patternFill patternType="solid">
        <fgColor rgb="00DDEBF7"/>
      </patternFill>
    </fill>
    <fill>
      <patternFill patternType="solid">
        <fgColor rgb="00FFF2CC"/>
      </patternFill>
    </fill>
    <fill>
      <patternFill patternType="solid">
        <fgColor rgb="00FCE4D6"/>
      </patternFill>
    </fill>
  </fills>
  <borders count="3">
    <border>
      <left/>
      <right/>
      <top/>
      <bottom/>
      <diagonal/>
    </border>
    <border>
      <left/>
      <right/>
      <top style="thin">
        <color auto="1"/>
      </top>
      <bottom style="double">
        <color auto="1"/>
      </bottom>
      <diagonal/>
    </border>
    <border>
      <left/>
      <right/>
      <top/>
      <bottom style="double">
        <color auto="1"/>
      </bottom>
      <diagonal/>
    </border>
  </borders>
  <cellStyleXfs count="1">
    <xf numFmtId="0" fontId="0" fillId="0" borderId="0"/>
  </cellStyleXfs>
  <cellXfs count="82">
    <xf numFmtId="0" fontId="0" fillId="0" borderId="0" pivotButton="0" quotePrefix="0" xfId="0"/>
    <xf numFmtId="0" fontId="21" fillId="0" borderId="0" pivotButton="0" quotePrefix="0" xfId="0"/>
    <xf numFmtId="0" fontId="10" fillId="0" borderId="0" pivotButton="0" quotePrefix="0" xfId="0"/>
    <xf numFmtId="0" fontId="7" fillId="0" borderId="0" pivotButton="0" quotePrefix="0" xfId="0"/>
    <xf numFmtId="0" fontId="6" fillId="0" borderId="0" pivotButton="0" quotePrefix="0" xfId="0"/>
    <xf numFmtId="0" fontId="4" fillId="0" borderId="0" pivotButton="0" quotePrefix="0" xfId="0"/>
    <xf numFmtId="0" fontId="9"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3" fontId="5" fillId="3" borderId="0" pivotButton="0" quotePrefix="0" xfId="0"/>
    <xf numFmtId="0" fontId="6" fillId="0" borderId="0" pivotButton="0" quotePrefix="0" xfId="0"/>
    <xf numFmtId="0" fontId="7" fillId="0" borderId="0" pivotButton="0" quotePrefix="0" xfId="0"/>
    <xf numFmtId="164" fontId="5" fillId="3" borderId="0" pivotButton="0" quotePrefix="0" xfId="0"/>
    <xf numFmtId="0" fontId="3" fillId="0" borderId="0" applyAlignment="1" pivotButton="0" quotePrefix="0" xfId="0">
      <alignment horizontal="center"/>
    </xf>
    <xf numFmtId="0" fontId="5" fillId="0" borderId="0" pivotButton="0" quotePrefix="0" xfId="0"/>
    <xf numFmtId="3" fontId="8" fillId="0" borderId="0" pivotButton="0" quotePrefix="0" xfId="0"/>
    <xf numFmtId="164" fontId="8" fillId="0" borderId="0" pivotButton="0" quotePrefix="0" xfId="0"/>
    <xf numFmtId="165" fontId="8" fillId="0" borderId="0" pivotButton="0" quotePrefix="0" xfId="0"/>
    <xf numFmtId="0" fontId="9" fillId="0" borderId="0" pivotButton="0" quotePrefix="0" xfId="0"/>
    <xf numFmtId="0" fontId="3" fillId="0" borderId="0" pivotButton="0" quotePrefix="0" xfId="0"/>
    <xf numFmtId="1" fontId="4" fillId="0" borderId="0" pivotButton="0" quotePrefix="0" xfId="0"/>
    <xf numFmtId="165" fontId="5" fillId="3" borderId="0" pivotButton="0" quotePrefix="0" xfId="0"/>
    <xf numFmtId="0" fontId="10" fillId="0" borderId="0" pivotButton="0" quotePrefix="0" xfId="0"/>
    <xf numFmtId="0" fontId="3" fillId="2" borderId="0" applyAlignment="1" pivotButton="0" quotePrefix="0" xfId="0">
      <alignment horizontal="center" wrapText="1"/>
    </xf>
    <xf numFmtId="1" fontId="3" fillId="2" borderId="0" applyAlignment="1" pivotButton="0" quotePrefix="0" xfId="0">
      <alignment horizontal="center" wrapText="1"/>
    </xf>
    <xf numFmtId="0" fontId="11" fillId="0" borderId="0" pivotButton="0" quotePrefix="0" xfId="0"/>
    <xf numFmtId="164" fontId="3" fillId="0" borderId="1" pivotButton="0" quotePrefix="0" xfId="0"/>
    <xf numFmtId="165" fontId="12" fillId="0" borderId="0" pivotButton="0" quotePrefix="0" xfId="0"/>
    <xf numFmtId="164" fontId="2" fillId="0" borderId="1" pivotButton="0" quotePrefix="0" xfId="0"/>
    <xf numFmtId="3" fontId="3" fillId="0" borderId="1" pivotButton="0" quotePrefix="0" xfId="0"/>
    <xf numFmtId="0" fontId="13" fillId="0" borderId="0" pivotButton="0" quotePrefix="0" xfId="0"/>
    <xf numFmtId="0" fontId="3" fillId="2" borderId="0" applyAlignment="1" pivotButton="0" quotePrefix="0" xfId="0">
      <alignment horizontal="center"/>
    </xf>
    <xf numFmtId="1" fontId="3" fillId="2" borderId="0" applyAlignment="1" pivotButton="0" quotePrefix="0" xfId="0">
      <alignment horizontal="center"/>
    </xf>
    <xf numFmtId="164" fontId="12" fillId="0" borderId="0" pivotButton="0" quotePrefix="0" xfId="0"/>
    <xf numFmtId="166" fontId="8" fillId="0" borderId="0" pivotButton="0" quotePrefix="0" xfId="0"/>
    <xf numFmtId="0" fontId="11" fillId="4" borderId="0" pivotButton="0" quotePrefix="0" xfId="0"/>
    <xf numFmtId="0" fontId="0" fillId="4" borderId="0" pivotButton="0" quotePrefix="0" xfId="0"/>
    <xf numFmtId="167" fontId="5" fillId="3" borderId="0" pivotButton="0" quotePrefix="0" xfId="0"/>
    <xf numFmtId="166" fontId="3" fillId="0" borderId="0" pivotButton="0" quotePrefix="0" xfId="0"/>
    <xf numFmtId="1" fontId="5" fillId="3" borderId="0" pivotButton="0" quotePrefix="0" xfId="0"/>
    <xf numFmtId="3" fontId="12" fillId="0" borderId="0" pivotButton="0" quotePrefix="0" xfId="0"/>
    <xf numFmtId="166" fontId="5" fillId="3" borderId="0" pivotButton="0" quotePrefix="0" xfId="0"/>
    <xf numFmtId="168" fontId="8" fillId="0" borderId="0" pivotButton="0" quotePrefix="0" xfId="0"/>
    <xf numFmtId="169" fontId="5" fillId="3" borderId="0" pivotButton="0" quotePrefix="0" xfId="0"/>
    <xf numFmtId="0" fontId="14" fillId="5" borderId="0" pivotButton="0" quotePrefix="0" xfId="0"/>
    <xf numFmtId="0" fontId="0" fillId="5" borderId="0" pivotButton="0" quotePrefix="0" xfId="0"/>
    <xf numFmtId="0" fontId="15" fillId="0" borderId="0" pivotButton="0" quotePrefix="0" xfId="0"/>
    <xf numFmtId="166" fontId="15" fillId="0" borderId="1" pivotButton="0" quotePrefix="0" xfId="0"/>
    <xf numFmtId="0" fontId="11" fillId="2" borderId="0" pivotButton="0" quotePrefix="0" xfId="0"/>
    <xf numFmtId="0" fontId="16" fillId="0" borderId="0" pivotButton="0" quotePrefix="0" xfId="0"/>
    <xf numFmtId="165" fontId="16" fillId="0" borderId="0" pivotButton="0" quotePrefix="0" xfId="0"/>
    <xf numFmtId="167" fontId="8" fillId="0" borderId="0" pivotButton="0" quotePrefix="0" xfId="0"/>
    <xf numFmtId="167" fontId="3" fillId="0" borderId="1" pivotButton="0" quotePrefix="0" xfId="0"/>
    <xf numFmtId="0" fontId="17" fillId="2" borderId="0" pivotButton="0" quotePrefix="0" xfId="0"/>
    <xf numFmtId="0" fontId="4" fillId="2" borderId="0" pivotButton="0" quotePrefix="0" xfId="0"/>
    <xf numFmtId="0" fontId="18" fillId="0" borderId="0" pivotButton="0" quotePrefix="0" xfId="0"/>
    <xf numFmtId="0" fontId="19" fillId="0" borderId="0" pivotButton="0" quotePrefix="0" xfId="0"/>
    <xf numFmtId="0" fontId="20" fillId="0" borderId="0" pivotButton="0" quotePrefix="0" xfId="0"/>
    <xf numFmtId="0" fontId="3" fillId="0" borderId="0" applyAlignment="1" pivotButton="0" quotePrefix="0" xfId="0">
      <alignment horizontal="center" wrapText="1"/>
    </xf>
    <xf numFmtId="10" fontId="8" fillId="0" borderId="0" pivotButton="0" quotePrefix="0" xfId="0"/>
    <xf numFmtId="0" fontId="17" fillId="0" borderId="0" pivotButton="0" quotePrefix="0" xfId="0"/>
    <xf numFmtId="0" fontId="22" fillId="0" borderId="0" pivotButton="0" quotePrefix="0" xfId="0"/>
    <xf numFmtId="0" fontId="18" fillId="2" borderId="0" pivotButton="0" quotePrefix="0" xfId="0"/>
    <xf numFmtId="0" fontId="6" fillId="2" borderId="0" pivotButton="0" quotePrefix="0" xfId="0"/>
    <xf numFmtId="0" fontId="23" fillId="0" borderId="0" pivotButton="0" quotePrefix="0" xfId="0"/>
    <xf numFmtId="0" fontId="24" fillId="0" borderId="2" pivotButton="0" quotePrefix="0" xfId="0"/>
    <xf numFmtId="1" fontId="4" fillId="0" borderId="2" pivotButton="0" quotePrefix="0" xfId="0"/>
    <xf numFmtId="10" fontId="12" fillId="0" borderId="2" pivotButton="0" quotePrefix="0" xfId="0"/>
    <xf numFmtId="0" fontId="4" fillId="0" borderId="2" pivotButton="0" quotePrefix="0" xfId="0"/>
    <xf numFmtId="0" fontId="23" fillId="0" borderId="2" pivotButton="0" quotePrefix="0" xfId="0"/>
    <xf numFmtId="0" fontId="25" fillId="0" borderId="0" pivotButton="0" quotePrefix="0" xfId="0"/>
    <xf numFmtId="0" fontId="26" fillId="0" borderId="0" pivotButton="0" quotePrefix="0" xfId="0"/>
    <xf numFmtId="0" fontId="27" fillId="6" borderId="0" pivotButton="0" quotePrefix="0" xfId="0"/>
    <xf numFmtId="0" fontId="28" fillId="0" borderId="0" applyAlignment="1" pivotButton="0" quotePrefix="0" xfId="0">
      <alignment vertical="top" wrapText="1"/>
    </xf>
    <xf numFmtId="0" fontId="26" fillId="0" borderId="0" applyAlignment="1" pivotButton="0" quotePrefix="0" xfId="0">
      <alignment vertical="top" wrapText="1"/>
    </xf>
    <xf numFmtId="0" fontId="28" fillId="7" borderId="0" pivotButton="0" quotePrefix="0" xfId="0"/>
    <xf numFmtId="0" fontId="28" fillId="8" borderId="0" pivotButton="0" quotePrefix="0" xfId="0"/>
    <xf numFmtId="0" fontId="28" fillId="9" borderId="0" pivotButton="0" quotePrefix="0" xfId="0"/>
    <xf numFmtId="0" fontId="28" fillId="1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D5F5"/>
      <rgbColor rgb="FF808080"/>
      <rgbColor rgb="FF9999FF"/>
      <rgbColor rgb="FF7030A0"/>
      <rgbColor rgb="FFFFFFCC"/>
      <rgbColor rgb="FFD6E4F0"/>
      <rgbColor rgb="FF660066"/>
      <rgbColor rgb="FFFF8080"/>
      <rgbColor rgb="FF0563C1"/>
      <rgbColor rgb="FFD5C6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ED7D31"/>
      <rgbColor rgb="FF666699"/>
      <rgbColor rgb="FF70AD47"/>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ifma.org/research/statistics/research-quarterly-equity-and-related" TargetMode="External" Id="rId1"/><Relationship Type="http://schemas.openxmlformats.org/officeDocument/2006/relationships/hyperlink" Target="https://www.sifma.org/research/statistics/research-quarterly-equity-and-related" TargetMode="External" Id="rId2"/><Relationship Type="http://schemas.openxmlformats.org/officeDocument/2006/relationships/hyperlink" Target="https://www.cboe.com/insights/posts/2025-u-s-equities-year-in-review/" TargetMode="External" Id="rId3"/><Relationship Type="http://schemas.openxmlformats.org/officeDocument/2006/relationships/hyperlink" Target="https://www.cboe.com/markets/us/equities/market-statistics/historical-market-volume/" TargetMode="External" Id="rId4"/><Relationship Type="http://schemas.openxmlformats.org/officeDocument/2006/relationships/hyperlink" Target="https://www.sifma.org/research/statistics/fact-book" TargetMode="External" Id="rId5"/><Relationship Type="http://schemas.openxmlformats.org/officeDocument/2006/relationships/hyperlink" Target="https://www.sec.gov/files/rules/sro/nscc/2025/34-104376.pdf" TargetMode="External" Id="rId6"/><Relationship Type="http://schemas.openxmlformats.org/officeDocument/2006/relationships/hyperlink" Target="https://www.congress.gov/bill/119th-congress/house-bill/" TargetMode="External" Id="rId7"/><Relationship Type="http://schemas.openxmlformats.org/officeDocument/2006/relationships/hyperlink" Target="https://www.sec.gov/cgi-bin/browse-edgar?action=getcompany&amp;company=securitize&amp;CIK=&amp;type=TA&amp;dateb=&amp;owner=include&amp;count=40&amp;search_text=&amp;action=getcompany" TargetMode="External" Id="rId8"/><Relationship Type="http://schemas.openxmlformats.org/officeDocument/2006/relationships/hyperlink" Target="https://www.nyse.com/" TargetMode="External" Id="rId9"/><Relationship Type="http://schemas.openxmlformats.org/officeDocument/2006/relationships/hyperlink" Target="https://www.ici.org/25-view-factbook-takeaways" TargetMode="External" Id="rId10"/><Relationship Type="http://schemas.openxmlformats.org/officeDocument/2006/relationships/hyperlink" Target="https://www.figure.com/" TargetMode="External" Id="rId11"/><Relationship Type="http://schemas.openxmlformats.org/officeDocument/2006/relationships/hyperlink" Target="https://newsroom.aboutrobinhood.com/" TargetMode="External" Id="rId12"/><Relationship Type="http://schemas.openxmlformats.org/officeDocument/2006/relationships/hyperlink" Target="https://www.broadridge.com/press-release/2024/broadridge-distributed-ledger-repo-platform" TargetMode="External" Id="rId13"/><Relationship Type="http://schemas.openxmlformats.org/officeDocument/2006/relationships/hyperlink" Target="https://www.sec.gov/cgi-bin/browse-edgar?company=blackrock&amp;CIK=&amp;type=&amp;dateb=&amp;owner=include&amp;count=40&amp;search_text=&amp;action=getcompany" TargetMode="External" Id="rId14"/><Relationship Type="http://schemas.openxmlformats.org/officeDocument/2006/relationships/hyperlink" Target="https://www.icifactbook.org/pdf/2025-factbook.pdf" TargetMode="External" Id="rId15"/></Relationships>
</file>

<file path=xl/worksheets/_rels/sheet4.xml.rels><Relationships xmlns="http://schemas.openxmlformats.org/package/2006/relationships"><Relationship Type="http://schemas.openxmlformats.org/officeDocument/2006/relationships/hyperlink" Target="https://www.sifma.org/research/statistics/fact-book" TargetMode="External" Id="rId1"/><Relationship Type="http://schemas.openxmlformats.org/officeDocument/2006/relationships/hyperlink" Target="https://www.cboe.com/insights/posts/2025-u-s-equities-year-in-review/" TargetMode="External" Id="rId2"/><Relationship Type="http://schemas.openxmlformats.org/officeDocument/2006/relationships/hyperlink" Target="https://www.spglobal.com/marketintelligence/en/campaigns/securities-finance" TargetMode="External" Id="rId3"/><Relationship Type="http://schemas.openxmlformats.org/officeDocument/2006/relationships/hyperlink" Target="https://www.spglobal.com/marketintelligence/en/campaigns/securities-finance" TargetMode="External" Id="rId4"/><Relationship Type="http://schemas.openxmlformats.org/officeDocument/2006/relationships/hyperlink" Target="https://www.spglobal.com/marketintelligence/en/campaigns/securities-finance" TargetMode="External" Id="rId5"/><Relationship Type="http://schemas.openxmlformats.org/officeDocument/2006/relationships/hyperlink" Target="https://www.sec.gov/cgi-bin/browse-edgar?action=getcompany&amp;CIK=COIN&amp;type=10-Q&amp;dateb=&amp;owner=include&amp;count=10&amp;search_text=&amp;action=getcompany" TargetMode="External" Id="rId6"/><Relationship Type="http://schemas.openxmlformats.org/officeDocument/2006/relationships/hyperlink" Target="https://www.sec.gov/cgi-bin/browse-edgar?action=getcompany&amp;CIK=COIN&amp;type=10-K&amp;dateb=&amp;owner=include&amp;count=10&amp;search_text=&amp;action=getcompany" TargetMode="External" Id="rId7"/><Relationship Type="http://schemas.openxmlformats.org/officeDocument/2006/relationships/hyperlink" Target="https://www.sifma.org/research/statistics/fact-book" TargetMode="External" Id="rId8"/><Relationship Type="http://schemas.openxmlformats.org/officeDocument/2006/relationships/hyperlink" Target="https://www.sec.gov/cgi-bin/browse-edgar?action=getcompany&amp;company=intercontinental+exchange&amp;CIK=&amp;type=10-K&amp;dateb=&amp;owner=include&amp;count=5&amp;search_text=&amp;action=getcompany" TargetMode="External" Id="rId9"/><Relationship Type="http://schemas.openxmlformats.org/officeDocument/2006/relationships/hyperlink" Target="https://www.cboe.com/us/equities/market_share/" TargetMode="External" Id="rId10"/><Relationship Type="http://schemas.openxmlformats.org/officeDocument/2006/relationships/hyperlink" Target="https://www.sec.gov/files/rules/sro/nscc/2025/34-104376.pdf" TargetMode="External" Id="rId11"/><Relationship Type="http://schemas.openxmlformats.org/officeDocument/2006/relationships/hyperlink" Target="https://www.sifma.org/research/statistics/fact-book" TargetMode="External" Id="rId12"/><Relationship Type="http://schemas.openxmlformats.org/officeDocument/2006/relationships/hyperlink" Target="https://www.cboe.com/insights/posts/2025-u-s-equities-year-in-review/" TargetMode="External" Id="rId13"/><Relationship Type="http://schemas.openxmlformats.org/officeDocument/2006/relationships/hyperlink" Target="https://www.sec.gov/files/rules/sro/nscc/2025/34-104376.pdf" TargetMode="External" Id="rId14"/><Relationship Type="http://schemas.openxmlformats.org/officeDocument/2006/relationships/hyperlink" Target="https://www.dtcc.com/~/media/Files/Downloads/legal/fee-guides/nsccfeeguide.pdf" TargetMode="External" Id="rId15"/><Relationship Type="http://schemas.openxmlformats.org/officeDocument/2006/relationships/hyperlink" Target="https://www.spglobal.com/marketintelligence/en/campaigns/securities-finance" TargetMode="External" Id="rId16"/><Relationship Type="http://schemas.openxmlformats.org/officeDocument/2006/relationships/hyperlink" Target="https://www.sec.gov/cgi-bin/browse-edgar?action=getcompany&amp;CIK=COIN&amp;type=10-K&amp;dateb=&amp;owner=include&amp;count=5&amp;search_text=&amp;action=getcompany" TargetMode="External" Id="rId17"/><Relationship Type="http://schemas.openxmlformats.org/officeDocument/2006/relationships/hyperlink" Target="https://www.sec.gov/cgi-bin/browse-edgar?action=getcompany&amp;company=intercontinental+exchange&amp;CIK=&amp;type=10-K&amp;dateb=&amp;owner=include&amp;count=5&amp;search_text=&amp;action=getcompany" TargetMode="External" Id="rId18"/><Relationship Type="http://schemas.openxmlformats.org/officeDocument/2006/relationships/hyperlink" Target="https://www.sifma.org/research/statistics/fact-book" TargetMode="External" Id="rId19"/><Relationship Type="http://schemas.openxmlformats.org/officeDocument/2006/relationships/hyperlink" Target="https://www.sifma.org/research/statistics/research-quarterly-equity-and-related" TargetMode="External" Id="rId20"/><Relationship Type="http://schemas.openxmlformats.org/officeDocument/2006/relationships/hyperlink" Target="https://en.wikipedia.org/wiki/Depository_Trust_%26_Clearing_Corporation" TargetMode="External" Id="rId21"/></Relationships>
</file>

<file path=xl/worksheets/_rels/sheet6.xml.rels><Relationships xmlns="http://schemas.openxmlformats.org/package/2006/relationships"><Relationship Type="http://schemas.openxmlformats.org/officeDocument/2006/relationships/hyperlink" Target="https://www.icifactbook.org/pdf/2025-factbook.pdf" TargetMode="External" Id="rId1"/><Relationship Type="http://schemas.openxmlformats.org/officeDocument/2006/relationships/hyperlink" Target="https://www.ici.org/25-view-factbook-takeaways" TargetMode="External" Id="rId2"/><Relationship Type="http://schemas.openxmlformats.org/officeDocument/2006/relationships/hyperlink" Target="https://www.americancentury.com/insights/etfs-defying-gravity/" TargetMode="External" Id="rId3"/><Relationship Type="http://schemas.openxmlformats.org/officeDocument/2006/relationships/hyperlink" Target="https://www.sifma.org/research/statistics/fact-book" TargetMode="External" Id="rId4"/><Relationship Type="http://schemas.openxmlformats.org/officeDocument/2006/relationships/hyperlink" Target="https://www.ici.org/research/stats/etf_flows" TargetMode="External" Id="rId5"/><Relationship Type="http://schemas.openxmlformats.org/officeDocument/2006/relationships/hyperlink" Target="https://www.adrbnymellon.com/market-review" TargetMode="External" Id="rId6"/><Relationship Type="http://schemas.openxmlformats.org/officeDocument/2006/relationships/hyperlink" Target="https://www.adrbnymellon.com/directory/dr-directory" TargetMode="External" Id="rId7"/><Relationship Type="http://schemas.openxmlformats.org/officeDocument/2006/relationships/hyperlink" Target="https://www.sifma.org/research/statistics/fact-book" TargetMode="External" Id="rId8"/><Relationship Type="http://schemas.openxmlformats.org/officeDocument/2006/relationships/hyperlink" Target="https://www.world-exchanges.org/our-work/statistics" TargetMode="External" Id="rId9"/><Relationship Type="http://schemas.openxmlformats.org/officeDocument/2006/relationships/hyperlink" Target="https://www.ici.org/research/stats/factbook" TargetMode="External" Id="rId10"/><Relationship Type="http://schemas.openxmlformats.org/officeDocument/2006/relationships/hyperlink" Target="https://www.etf.com/sections/etf-basics" TargetMode="External" Id="rId11"/><Relationship Type="http://schemas.openxmlformats.org/officeDocument/2006/relationships/hyperlink" Target="https://www.sifma.org/resources/research/fact-book/" TargetMode="External" Id="rId12"/><Relationship Type="http://schemas.openxmlformats.org/officeDocument/2006/relationships/hyperlink" Target="https://www.adrbnymellon.com/directory/dr-directory" TargetMode="External" Id="rId13"/><Relationship Type="http://schemas.openxmlformats.org/officeDocument/2006/relationships/hyperlink" Target="https://www.spglobal.com/marketintelligence/" TargetMode="External" Id="rId14"/><Relationship Type="http://schemas.openxmlformats.org/officeDocument/2006/relationships/hyperlink" Target="https://www.icifactbook.org/pdf/2025-factbook.pdf" TargetMode="External" Id="rId15"/><Relationship Type="http://schemas.openxmlformats.org/officeDocument/2006/relationships/hyperlink" Target="https://www.adrbnymellon.com/market-review" TargetMode="External" Id="rId16"/><Relationship Type="http://schemas.openxmlformats.org/officeDocument/2006/relationships/hyperlink" Target="https://www.adrbnymellon.com/market-review" TargetMode="External" Id="rId17"/><Relationship Type="http://schemas.openxmlformats.org/officeDocument/2006/relationships/hyperlink" Target="https://www.ici.org/25-view-factbook-takeaways" TargetMode="External" Id="rId18"/><Relationship Type="http://schemas.openxmlformats.org/officeDocument/2006/relationships/hyperlink" Target="https://www.sifma.org/resources/research/us-equity-markets-statistics/" TargetMode="External" Id="rId19"/><Relationship Type="http://schemas.openxmlformats.org/officeDocument/2006/relationships/hyperlink" Target="https://www.adrbnymellon.com/directory/dr-directory" TargetMode="External" Id="rId20"/><Relationship Type="http://schemas.openxmlformats.org/officeDocument/2006/relationships/hyperlink" Target="https://www.americancentury.com/insights/etfs-defying-gravity/" TargetMode="External" Id="rId21"/><Relationship Type="http://schemas.openxmlformats.org/officeDocument/2006/relationships/hyperlink" Target="https://www.world-exchanges.org/our-work/statistics" TargetMode="External" Id="rId22"/><Relationship Type="http://schemas.openxmlformats.org/officeDocument/2006/relationships/hyperlink" Target="https://www.sifma.org/research/statistics/fact-book" TargetMode="External" Id="rId23"/><Relationship Type="http://schemas.openxmlformats.org/officeDocument/2006/relationships/hyperlink" Target="https://www.sifma.org/research/statistics/fact-book" TargetMode="External" Id="rId24"/><Relationship Type="http://schemas.openxmlformats.org/officeDocument/2006/relationships/hyperlink" Target="https://www.world-exchanges.org/our-work/statistics" TargetMode="External" Id="rId25"/><Relationship Type="http://schemas.openxmlformats.org/officeDocument/2006/relationships/hyperlink" Target="https://www.ici.org/research/stats/etf_flows" TargetMode="External" Id="rId26"/></Relationships>
</file>

<file path=xl/worksheets/sheet1.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95" customWidth="1" min="3" max="3"/>
    <col width="13" customWidth="1" min="4" max="4"/>
    <col width="60" customWidth="1" min="5" max="5"/>
  </cols>
  <sheetData>
    <row r="1">
      <c r="A1" s="73" t="inlineStr">
        <is>
          <t>Source Register</t>
        </is>
      </c>
    </row>
    <row r="2">
      <c r="A2" s="74" t="inlineStr">
        <is>
          <t>Every hard input in this workbook points at one of these IDs. Links go to the exact document supporting the exact figure. The Basis column on each sheet states what to search for inside the document.</t>
        </is>
      </c>
    </row>
    <row r="4">
      <c r="A4" s="75" t="inlineStr">
        <is>
          <t>ID</t>
        </is>
      </c>
      <c r="B4" s="75" t="inlineStr">
        <is>
          <t>Publisher</t>
        </is>
      </c>
      <c r="C4" s="75" t="inlineStr">
        <is>
          <t>Document and the exact figure it supports</t>
        </is>
      </c>
      <c r="D4" s="75" t="inlineStr">
        <is>
          <t>As of</t>
        </is>
      </c>
      <c r="E4" s="75" t="inlineStr">
        <is>
          <t>Link</t>
        </is>
      </c>
    </row>
    <row r="5">
      <c r="A5" s="76" t="inlineStr">
        <is>
          <t>S01</t>
        </is>
      </c>
      <c r="B5" s="77" t="inlineStr">
        <is>
          <t>SIFMA</t>
        </is>
      </c>
      <c r="C5" s="77" t="inlineStr">
        <is>
          <t>Research Quarterly: Equity &amp; Related, 2Q26 - "Market cap of all US listed companies totaled $76.9T in 2Q26 (+16.5% Q/Q, +22.4% Y/Y) and the number of listed companies stood at 5,532 (+0.7% Q/Q, +2.1% Y/Y)."</t>
        </is>
      </c>
      <c r="D5" s="77" t="inlineStr">
        <is>
          <t>30-Jun-2026</t>
        </is>
      </c>
      <c r="E5" s="77" t="inlineStr">
        <is>
          <t>https://www.sifma.org/wp-content/uploads/2026/04/SIFMA-Research-Quarterly-Equity-and-Related-2Q26.pdf</t>
        </is>
      </c>
    </row>
    <row r="6">
      <c r="A6" s="76" t="inlineStr">
        <is>
          <t>S02</t>
        </is>
      </c>
      <c r="B6" s="77" t="inlineStr">
        <is>
          <t>SIFMA</t>
        </is>
      </c>
      <c r="C6" s="77" t="inlineStr">
        <is>
          <t>Research Quarterly: Equity &amp; Related - landing page, all quarters</t>
        </is>
      </c>
      <c r="D6" s="77" t="inlineStr">
        <is>
          <t>2026</t>
        </is>
      </c>
      <c r="E6" s="77" t="inlineStr">
        <is>
          <t>https://www.sifma.org/research/statistics/research-quarterly-equity-and-related</t>
        </is>
      </c>
    </row>
    <row r="7">
      <c r="A7" s="76" t="inlineStr">
        <is>
          <t>S03</t>
        </is>
      </c>
      <c r="B7" s="77" t="inlineStr">
        <is>
          <t>Cboe Global Markets</t>
        </is>
      </c>
      <c r="C7" s="77" t="inlineStr">
        <is>
          <t>2025 US Equities Year in Review - "average daily notional value (ADNV) increasing 43.3% year-over-year to $1.1 trillion"; ADV 17.6bn shares</t>
        </is>
      </c>
      <c r="D7" s="77" t="inlineStr">
        <is>
          <t>FY2025</t>
        </is>
      </c>
      <c r="E7" s="77" t="inlineStr">
        <is>
          <t>https://www.cboe.com/insights/posts/2025-u-s-equities-year-in-review/</t>
        </is>
      </c>
    </row>
    <row r="8">
      <c r="A8" s="76" t="inlineStr">
        <is>
          <t>S04</t>
        </is>
      </c>
      <c r="B8" s="77" t="inlineStr">
        <is>
          <t>LSEG / FTSE Russell</t>
        </is>
      </c>
      <c r="C8" s="77" t="inlineStr">
        <is>
          <t>Russell Reconstitution June 2026 - "the total market capitalization of the Russell 3000 Index increased 29% from $58.4 trillion at the 2025 reconstitution to $75.6 trillion on this year's rank day (April 30, 2026)"; Russell 2000 "$3.5 trillion in 2026"; breakpoint "$5.7 billion in 2026"</t>
        </is>
      </c>
      <c r="D8" s="77" t="inlineStr">
        <is>
          <t>30-Apr-2026</t>
        </is>
      </c>
      <c r="E8" s="77" t="inlineStr">
        <is>
          <t>https://www.lseg.com/en/insights/ftse-russell/russell-reconstitution-june-2026-larger-leaders-stronger-small-caps</t>
        </is>
      </c>
    </row>
    <row r="9">
      <c r="A9" s="76" t="inlineStr">
        <is>
          <t>S05</t>
        </is>
      </c>
      <c r="B9" s="77" t="inlineStr">
        <is>
          <t>DTCC</t>
        </is>
      </c>
      <c r="C9" s="77" t="inlineStr">
        <is>
          <t>"Paving the Way to Tokenized DTC-Custodied Assets" - SEC no-action letter 11-Dec-2025; scope Russell 1000, major index ETFs, US Treasuries; three-year authorisation; rollout 2H26</t>
        </is>
      </c>
      <c r="D9" s="77" t="inlineStr">
        <is>
          <t>11-Dec-2025</t>
        </is>
      </c>
      <c r="E9" s="77" t="inlineStr">
        <is>
          <t>https://www.dtcc.com/news/2025/december/11/paving-the-way-to-tokenized-dtc-custodied-assets</t>
        </is>
      </c>
    </row>
    <row r="10">
      <c r="A10" s="76" t="inlineStr">
        <is>
          <t>S06</t>
        </is>
      </c>
      <c r="B10" s="77" t="inlineStr">
        <is>
          <t>DTCC</t>
        </is>
      </c>
      <c r="C10" s="77" t="inlineStr">
        <is>
          <t>"DTCC Turns Tokenization into Reality" - live production trades processed 15-Jul-2026 with over 30 firms; Industry Working Group "has grown in recent months to more than 100 members and partners"; "sets the stage for the DTCC Tokenization Service to launch in October 2026"</t>
        </is>
      </c>
      <c r="D10" s="77" t="inlineStr">
        <is>
          <t>15-Jul-2026</t>
        </is>
      </c>
      <c r="E10" s="77" t="inlineStr">
        <is>
          <t>https://www.dtcc.com/press-releases/2026/dtcc-turns-tokenization-into-reality</t>
        </is>
      </c>
    </row>
    <row r="11">
      <c r="A11" s="76" t="inlineStr">
        <is>
          <t>S07</t>
        </is>
      </c>
      <c r="B11" s="77" t="inlineStr">
        <is>
          <t>DTCC</t>
        </is>
      </c>
      <c r="C11" s="77" t="inlineStr">
        <is>
          <t>"DTCC Advances Development of New Tokenization Service, Convenes 50+ Firms" - working group composition and named members</t>
        </is>
      </c>
      <c r="D11" s="77" t="inlineStr">
        <is>
          <t>04-May-2026</t>
        </is>
      </c>
      <c r="E11" s="77" t="inlineStr">
        <is>
          <t>https://www.dtcc.com/news/2026/may/04/dtcc-advances-development-of-new-tokenization-service</t>
        </is>
      </c>
    </row>
    <row r="12">
      <c r="A12" s="76" t="inlineStr">
        <is>
          <t>S08</t>
        </is>
      </c>
      <c r="B12" s="77" t="inlineStr">
        <is>
          <t>SEC (Federal Register)</t>
        </is>
      </c>
      <c r="C12" s="77" t="inlineStr">
        <is>
          <t>SR-NSCC-2025-017 - "decrease its 'value into the net' fee from $0.46 to $0.44 per million of processed value"; "implemented on January 1, 2026"</t>
        </is>
      </c>
      <c r="D12" s="77" t="inlineStr">
        <is>
          <t>17-Dec-2025</t>
        </is>
      </c>
      <c r="E12" s="77" t="inlineStr">
        <is>
          <t>https://www.federalregister.gov/documents/2025/12/17/2025-23068/self-regulatory-organizations-national-securities-clearing-corporation-notice-of-filing-and</t>
        </is>
      </c>
    </row>
    <row r="13">
      <c r="A13" s="76" t="inlineStr">
        <is>
          <t>S09</t>
        </is>
      </c>
      <c r="B13" s="77" t="inlineStr">
        <is>
          <t>DTCC</t>
        </is>
      </c>
      <c r="C13" s="77" t="inlineStr">
        <is>
          <t>Guide to the NSCC Fee Schedule - Clearance Activity, Value Into Net, Fee ID 2482. NOTE: the copy retrieved 10-Sep-2026 still displays 0.46; S08 is the authority for the 0.44 rate effective 01-Jan-2026</t>
        </is>
      </c>
      <c r="D13" s="77" t="inlineStr">
        <is>
          <t>2026</t>
        </is>
      </c>
      <c r="E13" s="77" t="inlineStr">
        <is>
          <t>https://www.dtcc.com/-/media/Files/Downloads/legal/fee-guides/nsccfeeguide.pdf</t>
        </is>
      </c>
    </row>
    <row r="14">
      <c r="A14" s="76" t="inlineStr">
        <is>
          <t>S10</t>
        </is>
      </c>
      <c r="B14" s="77" t="inlineStr">
        <is>
          <t>S&amp;P Global Market Intelligence (via Securities Finance Times)</t>
        </is>
      </c>
      <c r="C14" s="77" t="inlineStr">
        <is>
          <t>FY2025 securities lending - "a 27 per cent year-on-year (YoY) increase to US$14.9 billion"; "equities, which contributed US$11.5 billion"; "lendable assets increased 16 per cent to US$46.7 trillion"; "Average balances rose 20 per cent YoY to US$3.25 trillion"</t>
        </is>
      </c>
      <c r="D14" s="77" t="inlineStr">
        <is>
          <t>FY2025</t>
        </is>
      </c>
      <c r="E14" s="77" t="inlineStr">
        <is>
          <t>https://www.securitiesfinancetimes.com/securitieslendingnews/industryarticle.php?article_id=228388</t>
        </is>
      </c>
    </row>
    <row r="15">
      <c r="A15" s="76" t="inlineStr">
        <is>
          <t>S11</t>
        </is>
      </c>
      <c r="B15" s="77" t="inlineStr">
        <is>
          <t>ICI</t>
        </is>
      </c>
      <c r="C15" s="77" t="inlineStr">
        <is>
          <t>Exchange-Traded Fund Data, July 2026 - "The combined assets of the nation's exchange-traded funds (ETFs) were $15.67 trillion in July"; Total Domestic Equity $10,090.4bn; 5,182 ETFs</t>
        </is>
      </c>
      <c r="D15" s="77" t="inlineStr">
        <is>
          <t>31-Jul-2026</t>
        </is>
      </c>
      <c r="E15" s="77" t="inlineStr">
        <is>
          <t>https://www.ici.org/research/stats/etf/etfs_04_26</t>
        </is>
      </c>
    </row>
    <row r="16">
      <c r="A16" s="76" t="inlineStr">
        <is>
          <t>S12</t>
        </is>
      </c>
      <c r="B16" s="77" t="inlineStr">
        <is>
          <t>Securitize Corp (PR Newswire)</t>
        </is>
      </c>
      <c r="C16" s="77" t="inlineStr">
        <is>
          <t>Q2 2026 Results - revenue $14.4m; average tokenized AUM $4.3bn; 663 funds; transfer agent partnerships with Computershare and Continental Stock Transfer &amp; Trust</t>
        </is>
      </c>
      <c r="D16" s="77" t="inlineStr">
        <is>
          <t>30-Jun-2026</t>
        </is>
      </c>
      <c r="E16" s="77" t="inlineStr">
        <is>
          <t>https://www.prnewswire.com/news-releases/securitize-reports-second-quarter-2026-results-302850119.html</t>
        </is>
      </c>
    </row>
    <row r="17">
      <c r="A17" s="76" t="inlineStr">
        <is>
          <t>S13</t>
        </is>
      </c>
      <c r="B17" s="77" t="inlineStr">
        <is>
          <t>Securitize / Computershare (PR Newswire)</t>
        </is>
      </c>
      <c r="C17" s="77" t="inlineStr">
        <is>
          <t>Agreement to enable Issuer-Sponsored Tokens for US issuers alongside DRS shares; Computershare serves more than 25,000 companies</t>
        </is>
      </c>
      <c r="D17" s="77" t="inlineStr">
        <is>
          <t>29-Apr-2026</t>
        </is>
      </c>
      <c r="E17" s="77" t="inlineStr">
        <is>
          <t>https://www.prnewswire.com/news-releases/securitize-and-computershare-announce-an-agreement-to-enable-tokenized-shares-for-us-issuers-302756568.html</t>
        </is>
      </c>
    </row>
    <row r="18">
      <c r="A18" s="76" t="inlineStr">
        <is>
          <t>S14</t>
        </is>
      </c>
      <c r="B18" s="77" t="inlineStr">
        <is>
          <t>SEC</t>
        </is>
      </c>
      <c r="C18" s="77" t="inlineStr">
        <is>
          <t>Release No. 34-105047 - order approving Nasdaq rules for trading securities in tokenized form; fungible, same CUSIP and symbol, same rights, T+1 settlement through DTC; scope Russell 1000 and major index ETFs</t>
        </is>
      </c>
      <c r="D18" s="77" t="inlineStr">
        <is>
          <t>18-Mar-2026</t>
        </is>
      </c>
      <c r="E18" s="77" t="inlineStr">
        <is>
          <t>https://www.federalregister.gov/documents/2026/03/23/2026-05563/self-regulatory-organizations-the-nasdaq-stock-market-llc-order-approving-a-proposed-rule-change-as</t>
        </is>
      </c>
    </row>
    <row r="19">
      <c r="A19" s="76" t="inlineStr">
        <is>
          <t>S15</t>
        </is>
      </c>
      <c r="B19" s="77" t="inlineStr">
        <is>
          <t>SEC Division of Corporation Finance</t>
        </is>
      </c>
      <c r="C19" s="77" t="inlineStr">
        <is>
          <t>Statement on Tokenized Securities - stock remains an equity security regardless of format; sets out issuer-sponsored, third-party custodial and third-party synthetic models</t>
        </is>
      </c>
      <c r="D19" s="77" t="inlineStr">
        <is>
          <t>28-Jan-2026</t>
        </is>
      </c>
      <c r="E19" s="77" t="inlineStr">
        <is>
          <t>https://www.sec.gov/newsroom/speeches-statements/corp-fin-statement-tokenized-securities-012826-statement-tokenized-securities</t>
        </is>
      </c>
    </row>
    <row r="20">
      <c r="A20" s="76" t="inlineStr">
        <is>
          <t>S16</t>
        </is>
      </c>
      <c r="B20" s="77" t="inlineStr">
        <is>
          <t>SEC Division of Trading and Markets</t>
        </is>
      </c>
      <c r="C20" s="77" t="inlineStr">
        <is>
          <t>FAQs Relating to Crypto Asset Activities and DLT, Q11 - a registered transfer agent may maintain the master securityholder file using DLT and "would not need to maintain a duplicate or 'digital twin' of its master securityholder file exclusively off-chain"</t>
        </is>
      </c>
      <c r="D20" s="77" t="inlineStr">
        <is>
          <t>15-May-2025</t>
        </is>
      </c>
      <c r="E20" s="77" t="inlineStr">
        <is>
          <t>https://www.sec.gov/rules-regulations/staff-guidance/trading-markets-frequently-asked-questions/frequently-asked-questions-relating-crypto-asset-activities-distributed-ledger-technology</t>
        </is>
      </c>
    </row>
    <row r="21">
      <c r="A21" s="76" t="inlineStr">
        <is>
          <t>S17</t>
        </is>
      </c>
      <c r="B21" s="77" t="inlineStr">
        <is>
          <t>SIFMA</t>
        </is>
      </c>
      <c r="C21" s="77" t="inlineStr">
        <is>
          <t>Capital Markets Fact Book - annual reference for US equity aggregates</t>
        </is>
      </c>
      <c r="D21" s="77" t="inlineStr">
        <is>
          <t>2025</t>
        </is>
      </c>
      <c r="E21" s="77" t="inlineStr">
        <is>
          <t>https://www.sifma.org/research/statistics/fact-book</t>
        </is>
      </c>
    </row>
    <row r="22">
      <c r="A22" s="76" t="inlineStr">
        <is>
          <t>S18</t>
        </is>
      </c>
      <c r="B22" s="77" t="inlineStr">
        <is>
          <t>Congress.gov</t>
        </is>
      </c>
      <c r="C22" s="77" t="inlineStr">
        <is>
          <t>H.R.3633 Digital Asset Market Clarity Act, 119th Congress - bill text and status</t>
        </is>
      </c>
      <c r="D22" s="77" t="inlineStr">
        <is>
          <t>2026</t>
        </is>
      </c>
      <c r="E22" s="77" t="inlineStr">
        <is>
          <t>https://www.congress.gov/bill/119th-congress/house-bill/3633</t>
        </is>
      </c>
    </row>
    <row r="23">
      <c r="A23" s="76" t="inlineStr">
        <is>
          <t>SX</t>
        </is>
      </c>
      <c r="B23" s="77" t="inlineStr">
        <is>
          <t>Bernstein</t>
        </is>
      </c>
      <c r="C23" s="77" t="inlineStr">
        <is>
          <t>Internal estimate or judgement. No public document supports the figure</t>
        </is>
      </c>
      <c r="D23" s="77" t="inlineStr">
        <is>
          <t>-</t>
        </is>
      </c>
      <c r="E23" s="77" t="inlineStr"/>
    </row>
  </sheetData>
  <pageMargins left="0.75" right="0.75" top="1" bottom="1" header="0.5" footer="0.5"/>
</worksheet>
</file>

<file path=xl/worksheets/sheet2.xml><?xml version="1.0" encoding="utf-8"?>
<worksheet xmlns="http://schemas.openxmlformats.org/spreadsheetml/2006/main">
  <sheetPr>
    <tabColor rgb="FF1F4E79"/>
    <outlinePr summaryBelow="1" summaryRight="1"/>
    <pageSetUpPr/>
  </sheetPr>
  <dimension ref="A1:J33"/>
  <sheetViews>
    <sheetView tabSelected="1" zoomScaleNormal="100" workbookViewId="0">
      <pane ySplit="3" topLeftCell="A4" activePane="bottomLeft" state="frozen"/>
      <selection pane="bottomLeft" activeCell="A1" sqref="A1"/>
    </sheetView>
  </sheetViews>
  <sheetFormatPr baseColWidth="8" defaultColWidth="8.6328125" defaultRowHeight="14.5"/>
  <cols>
    <col width="35" customWidth="1" min="1" max="1"/>
    <col width="18" customWidth="1" min="2" max="4"/>
    <col width="22" customWidth="1" min="5" max="5"/>
    <col width="62" customWidth="1" min="6" max="6"/>
    <col width="80" customWidth="1" min="7" max="7"/>
    <col width="12" customWidth="1" min="8" max="8"/>
    <col width="9" customWidth="1" min="9" max="9"/>
    <col width="88" customWidth="1" min="10" max="10"/>
  </cols>
  <sheetData>
    <row r="1" ht="17.25" customHeight="1">
      <c r="A1" s="7" t="inlineStr">
        <is>
          <t>US Tokenized Equity Market: TAM Sizing Model</t>
        </is>
      </c>
    </row>
    <row r="2" ht="15" customHeight="1">
      <c r="A2" s="8" t="inlineStr">
        <is>
          <t>Assumptions &amp; Market Segmentation</t>
        </is>
      </c>
    </row>
    <row r="4" ht="15" customHeight="1">
      <c r="A4" s="9" t="inlineStr">
        <is>
          <t>US Equity Market Overview</t>
        </is>
      </c>
      <c r="B4" s="10" t="n"/>
      <c r="C4" s="10" t="n"/>
      <c r="D4" s="10" t="n"/>
      <c r="E4" s="10" t="n"/>
      <c r="F4" s="9" t="inlineStr">
        <is>
          <t>Source</t>
        </is>
      </c>
      <c r="G4" s="9" t="inlineStr">
        <is>
          <t>Link</t>
        </is>
      </c>
      <c r="H4" s="75" t="inlineStr">
        <is>
          <t>Status</t>
        </is>
      </c>
      <c r="I4" s="75" t="inlineStr">
        <is>
          <t>Src ID</t>
        </is>
      </c>
      <c r="J4" s="75" t="inlineStr">
        <is>
          <t>Basis / what to search in the source</t>
        </is>
      </c>
    </row>
    <row r="5" ht="15" customHeight="1">
      <c r="A5" s="11" t="inlineStr">
        <is>
          <t>Total US listed companies (major exchanges)</t>
        </is>
      </c>
      <c r="B5" s="12" t="n">
        <v>5532</v>
      </c>
      <c r="F5" s="13" t="inlineStr">
        <is>
          <t>SIFMA Research Quarterly: Equity &amp; Related, 2Q26</t>
        </is>
      </c>
      <c r="G5" s="14" t="inlineStr">
        <is>
          <t>https://www.sifma.org/wp-content/uploads/2026/04/SIFMA-Research-Quarterly-Equity-and-Related-2Q26.pdf</t>
        </is>
      </c>
      <c r="H5" s="78" t="inlineStr">
        <is>
          <t>VERIFIED</t>
        </is>
      </c>
      <c r="I5" s="74" t="inlineStr">
        <is>
          <t>S01</t>
        </is>
      </c>
      <c r="J5" s="77" t="inlineStr">
        <is>
          <t>Search the 2Q26 PDF, Executive Summary p1, for 'number of listed companies stood at 5,532'</t>
        </is>
      </c>
    </row>
    <row r="6" ht="15" customHeight="1">
      <c r="A6" s="11" t="inlineStr">
        <is>
          <t>Total US equity market cap ($Bn)</t>
        </is>
      </c>
      <c r="B6" s="15" t="n">
        <v>76900</v>
      </c>
      <c r="F6" s="13" t="inlineStr">
        <is>
          <t>SIFMA Research Quarterly: Equity &amp; Related, 2Q26</t>
        </is>
      </c>
      <c r="G6" s="14" t="inlineStr">
        <is>
          <t>https://www.sifma.org/wp-content/uploads/2026/04/SIFMA-Research-Quarterly-Equity-and-Related-2Q26.pdf</t>
        </is>
      </c>
      <c r="H6" s="78" t="inlineStr">
        <is>
          <t>VERIFIED</t>
        </is>
      </c>
      <c r="I6" s="74" t="inlineStr">
        <is>
          <t>S01</t>
        </is>
      </c>
      <c r="J6" s="77" t="inlineStr">
        <is>
          <t>Search the 2Q26 PDF, Executive Summary p1, for 'Market cap of all US listed companies totaled $76.9T'</t>
        </is>
      </c>
    </row>
    <row r="7" ht="15" customHeight="1">
      <c r="A7" s="11" t="inlineStr">
        <is>
          <t>Total US equity ADV ($Bn)</t>
        </is>
      </c>
      <c r="B7" s="15" t="n">
        <v>1100</v>
      </c>
      <c r="F7" s="13" t="inlineStr">
        <is>
          <t>Cboe 2025 US Equities Year in Review</t>
        </is>
      </c>
      <c r="G7" s="14" t="inlineStr">
        <is>
          <t>https://www.cboe.com/insights/posts/2025-u-s-equities-year-in-review/</t>
        </is>
      </c>
      <c r="H7" s="78" t="inlineStr">
        <is>
          <t>VERIFIED</t>
        </is>
      </c>
      <c r="I7" s="74" t="inlineStr">
        <is>
          <t>S03</t>
        </is>
      </c>
      <c r="J7" s="77" t="inlineStr">
        <is>
          <t>Search the Cboe post for 'average daily notional value (ADNV) increasing 43.3% year-over-year to $1.1 trillion'</t>
        </is>
      </c>
    </row>
    <row r="9" ht="15" customHeight="1">
      <c r="A9" s="9" t="inlineStr">
        <is>
          <t>ADV-Based Segmentation</t>
        </is>
      </c>
      <c r="B9" s="10" t="n"/>
      <c r="C9" s="10" t="n"/>
      <c r="D9" s="10" t="n"/>
      <c r="E9" s="10" t="n"/>
      <c r="F9" s="9" t="inlineStr">
        <is>
          <t>Source</t>
        </is>
      </c>
      <c r="G9" s="9" t="inlineStr">
        <is>
          <t>Link</t>
        </is>
      </c>
      <c r="H9" s="75" t="inlineStr">
        <is>
          <t>Status</t>
        </is>
      </c>
      <c r="I9" s="75" t="inlineStr">
        <is>
          <t>Src ID</t>
        </is>
      </c>
      <c r="J9" s="75" t="inlineStr">
        <is>
          <t>Basis / what to search in the source</t>
        </is>
      </c>
    </row>
    <row r="10" ht="15" customHeight="1">
      <c r="A10" s="16" t="n"/>
      <c r="B10" s="16" t="inlineStr">
        <is>
          <t>Low ADV</t>
        </is>
      </c>
      <c r="C10" s="16" t="inlineStr">
        <is>
          <t>Mid ADV</t>
        </is>
      </c>
      <c r="D10" s="16" t="inlineStr">
        <is>
          <t>High ADV</t>
        </is>
      </c>
      <c r="E10" s="16" t="inlineStr">
        <is>
          <t>Total / Check</t>
        </is>
      </c>
    </row>
    <row r="11" ht="15" customHeight="1">
      <c r="A11" s="11" t="inlineStr">
        <is>
          <t>ADV threshold</t>
        </is>
      </c>
      <c r="B11" s="17" t="inlineStr">
        <is>
          <t>&lt;$5M / day</t>
        </is>
      </c>
      <c r="C11" s="17" t="inlineStr">
        <is>
          <t>$5M - $50M / day</t>
        </is>
      </c>
      <c r="D11" s="17" t="inlineStr">
        <is>
          <t>&gt;$50M / day</t>
        </is>
      </c>
    </row>
    <row r="12" ht="15" customHeight="1">
      <c r="A12" s="11" t="inlineStr">
        <is>
          <t>Number of companies</t>
        </is>
      </c>
      <c r="B12" s="12" t="n">
        <v>3140</v>
      </c>
      <c r="C12" s="12" t="n">
        <v>1800</v>
      </c>
      <c r="D12" s="12" t="n">
        <v>592</v>
      </c>
      <c r="E12" s="18">
        <f>SUM(B12:D12)</f>
        <v/>
      </c>
      <c r="F12" s="13" t="inlineStr">
        <is>
          <t>Bernstein estimate - ADV bucket split. Company counts rebased to the SIFMA 2Q26 total of 5,532</t>
        </is>
      </c>
      <c r="G12" s="14" t="inlineStr">
        <is>
          <t>https://www.sifma.org/wp-content/uploads/2026/04/SIFMA-Research-Quarterly-Equity-and-Related-2Q26.pdf</t>
        </is>
      </c>
      <c r="H12" s="79" t="inlineStr">
        <is>
          <t>DERIVED</t>
        </is>
      </c>
      <c r="I12" s="74" t="inlineStr">
        <is>
          <t>S01 / SX</t>
        </is>
      </c>
      <c r="J12" s="77" t="inlineStr">
        <is>
          <t>Bucket split is a Bernstein estimate and is NOT in any public document. Only the 5,532 control total is verified - search S01 for it</t>
        </is>
      </c>
    </row>
    <row r="13" ht="15" customHeight="1">
      <c r="A13" s="11" t="inlineStr">
        <is>
          <t>Aggregate market cap ($Bn)</t>
        </is>
      </c>
      <c r="B13" s="15" t="n">
        <v>3845</v>
      </c>
      <c r="C13" s="15" t="n">
        <v>13398</v>
      </c>
      <c r="D13" s="15" t="n">
        <v>59657</v>
      </c>
      <c r="E13" s="19">
        <f>SUM(B13:D13)</f>
        <v/>
      </c>
      <c r="F13" s="13" t="inlineStr">
        <is>
          <t>Bernstein estimate - segment shares of 5.00% / 17.42% / 77.58% held constant, applied to the SIFMA 2Q26 total of $76.9T</t>
        </is>
      </c>
      <c r="G13" s="14" t="inlineStr">
        <is>
          <t>https://www.sifma.org/wp-content/uploads/2026/04/SIFMA-Research-Quarterly-Equity-and-Related-2Q26.pdf</t>
        </is>
      </c>
      <c r="H13" s="79" t="inlineStr">
        <is>
          <t>DERIVED</t>
        </is>
      </c>
      <c r="I13" s="74" t="inlineStr">
        <is>
          <t>S01 / SX</t>
        </is>
      </c>
      <c r="J13" s="77" t="inlineStr">
        <is>
          <t>Bucket split is a Bernstein estimate. Only the $76.9T control total is verified - search S01 for it</t>
        </is>
      </c>
    </row>
    <row r="14" ht="15" customHeight="1">
      <c r="A14" s="11" t="inlineStr">
        <is>
          <t>% of total market cap</t>
        </is>
      </c>
      <c r="B14" s="20">
        <f>B13/$E13</f>
        <v/>
      </c>
      <c r="C14" s="20">
        <f>C13/$E13</f>
        <v/>
      </c>
      <c r="D14" s="20">
        <f>D13/$E13</f>
        <v/>
      </c>
      <c r="E14" s="20">
        <f>SUM(B14:D14)</f>
        <v/>
      </c>
      <c r="H14" s="79" t="inlineStr">
        <is>
          <t>CALC</t>
        </is>
      </c>
      <c r="I14" s="74" t="inlineStr"/>
      <c r="J14" s="77" t="inlineStr">
        <is>
          <t>Formula on this sheet</t>
        </is>
      </c>
    </row>
    <row r="15" ht="15" customHeight="1">
      <c r="A15" s="11" t="inlineStr">
        <is>
          <t>Avg market cap per company ($Bn)</t>
        </is>
      </c>
      <c r="B15" s="19">
        <f>B13/B12</f>
        <v/>
      </c>
      <c r="C15" s="19">
        <f>C13/C12</f>
        <v/>
      </c>
      <c r="D15" s="19">
        <f>D13/D12</f>
        <v/>
      </c>
      <c r="H15" s="79" t="inlineStr">
        <is>
          <t>CALC</t>
        </is>
      </c>
      <c r="I15" s="74" t="inlineStr"/>
      <c r="J15" s="77" t="inlineStr">
        <is>
          <t>Formula on this sheet</t>
        </is>
      </c>
    </row>
    <row r="17" ht="15" customHeight="1">
      <c r="A17" s="9" t="inlineStr">
        <is>
          <t>Tokenization Penetration Assumptions (% of segment mkt cap)</t>
        </is>
      </c>
      <c r="B17" s="10" t="n"/>
      <c r="C17" s="10" t="n"/>
      <c r="D17" s="10" t="n"/>
      <c r="E17" s="10" t="n"/>
      <c r="F17" s="10" t="n"/>
      <c r="G17" s="10" t="n"/>
    </row>
    <row r="18" ht="15" customHeight="1">
      <c r="A18" s="11" t="inlineStr">
        <is>
          <t>Rationale</t>
        </is>
      </c>
      <c r="B18" s="21" t="inlineStr">
        <is>
          <t>Early adopters: illiquid names benefit most from 24/7 trading, fractional access</t>
        </is>
      </c>
    </row>
    <row r="20" ht="15" customHeight="1">
      <c r="A20" s="16" t="inlineStr">
        <is>
          <t>Year</t>
        </is>
      </c>
      <c r="B20" s="16" t="inlineStr">
        <is>
          <t>Low ADV Penetration</t>
        </is>
      </c>
      <c r="C20" s="16" t="inlineStr">
        <is>
          <t>Mid ADV Penetration</t>
        </is>
      </c>
      <c r="D20" s="16" t="inlineStr">
        <is>
          <t>High ADV Penetration</t>
        </is>
      </c>
      <c r="F20" s="22" t="inlineStr">
        <is>
          <t>Source / Rationale</t>
        </is>
      </c>
      <c r="G20" s="22" t="inlineStr">
        <is>
          <t>Link / Reference</t>
        </is>
      </c>
      <c r="H20" s="75" t="inlineStr">
        <is>
          <t>Status</t>
        </is>
      </c>
      <c r="I20" s="75" t="inlineStr">
        <is>
          <t>Src ID</t>
        </is>
      </c>
      <c r="J20" s="75" t="inlineStr">
        <is>
          <t>Basis / what to search in the source</t>
        </is>
      </c>
    </row>
    <row r="21" ht="15" customHeight="1">
      <c r="A21" s="23" t="n">
        <v>2026</v>
      </c>
      <c r="B21" s="24" t="n">
        <v>0.001</v>
      </c>
      <c r="C21" s="24" t="n">
        <v>0</v>
      </c>
      <c r="D21" s="24" t="n">
        <v>0</v>
      </c>
      <c r="F21" s="13" t="inlineStr">
        <is>
          <t>Bernstein forecast - see Basis column</t>
        </is>
      </c>
      <c r="G21" s="14" t="inlineStr">
        <is>
          <t>https://www.dtcc.com/news/2025/december/11/paving-the-way-to-tokenized-dtc-custodied-assets</t>
        </is>
      </c>
      <c r="H21" s="80" t="inlineStr">
        <is>
          <t>FORECAST</t>
        </is>
      </c>
      <c r="I21" s="74" t="inlineStr">
        <is>
          <t>S05</t>
        </is>
      </c>
      <c r="J21" s="77" t="inlineStr">
        <is>
          <t>2026 anchor. DTC no-action letter dated 11-Dec-2025 permits tokenization only of Russell 1000 equities, major index ETFs and Treasuries, so onshore penetration starts near zero. Search S05 for 'Russell 1000'</t>
        </is>
      </c>
    </row>
    <row r="22" ht="15" customHeight="1">
      <c r="A22" s="23" t="n">
        <v>2027</v>
      </c>
      <c r="B22" s="24" t="n">
        <v>0.005</v>
      </c>
      <c r="C22" s="24" t="n">
        <v>0.002</v>
      </c>
      <c r="D22" s="24" t="n">
        <v>0</v>
      </c>
      <c r="F22" s="13" t="inlineStr">
        <is>
          <t>Bernstein forecast - see Basis column</t>
        </is>
      </c>
      <c r="G22" s="14" t="inlineStr"/>
      <c r="H22" s="80" t="inlineStr">
        <is>
          <t>FORECAST</t>
        </is>
      </c>
      <c r="I22" s="74" t="inlineStr">
        <is>
          <t>SX</t>
        </is>
      </c>
      <c r="J22" s="77" t="inlineStr">
        <is>
          <t>Assumes CLARITY Act does not complete in 2027. Search S18 for the bill's status history</t>
        </is>
      </c>
    </row>
    <row r="23" ht="15" customHeight="1">
      <c r="A23" s="23" t="n">
        <v>2028</v>
      </c>
      <c r="B23" s="24" t="n">
        <v>0.015</v>
      </c>
      <c r="C23" s="24" t="n">
        <v>0.005</v>
      </c>
      <c r="D23" s="24" t="n">
        <v>0.001</v>
      </c>
      <c r="F23" s="13" t="inlineStr">
        <is>
          <t>Bernstein forecast - see Basis column</t>
        </is>
      </c>
      <c r="G23" s="14" t="inlineStr">
        <is>
          <t>https://www.dtcc.com/press-releases/2026/dtcc-turns-tokenization-into-reality</t>
        </is>
      </c>
      <c r="H23" s="80" t="inlineStr">
        <is>
          <t>FORECAST</t>
        </is>
      </c>
      <c r="I23" s="74" t="inlineStr">
        <is>
          <t>S06</t>
        </is>
      </c>
      <c r="J23" s="77" t="inlineStr">
        <is>
          <t>First full year of the DTCC Tokenization Service. Search S06 for 'launch in October 2026'</t>
        </is>
      </c>
    </row>
    <row r="24" ht="15" customHeight="1">
      <c r="A24" s="23" t="n">
        <v>2029</v>
      </c>
      <c r="B24" s="24" t="n">
        <v>0.035</v>
      </c>
      <c r="C24" s="24" t="n">
        <v>0.012</v>
      </c>
      <c r="D24" s="24" t="n">
        <v>0.003</v>
      </c>
      <c r="F24" s="13" t="inlineStr">
        <is>
          <t>Bernstein forecast - see Basis column</t>
        </is>
      </c>
      <c r="G24" s="14" t="inlineStr"/>
      <c r="H24" s="80" t="inlineStr">
        <is>
          <t>FORECAST</t>
        </is>
      </c>
      <c r="I24" s="74" t="inlineStr">
        <is>
          <t>SX</t>
        </is>
      </c>
      <c r="J24" s="77" t="inlineStr">
        <is>
          <t>Assumes relief widens beyond the Russell 1000. The current letter runs three years from 11-Dec-2025; search S05 for the authorisation term</t>
        </is>
      </c>
    </row>
    <row r="25" ht="15" customHeight="1">
      <c r="A25" s="23" t="n">
        <v>2030</v>
      </c>
      <c r="B25" s="24" t="n">
        <v>0.06</v>
      </c>
      <c r="C25" s="24" t="n">
        <v>0.025</v>
      </c>
      <c r="D25" s="24" t="n">
        <v>0.006</v>
      </c>
      <c r="F25" s="13" t="inlineStr">
        <is>
          <t>Bernstein forecast - see Basis column</t>
        </is>
      </c>
      <c r="G25" s="14" t="inlineStr">
        <is>
          <t>https://www.ici.org/research/stats/etf/etfs_04_26</t>
        </is>
      </c>
      <c r="H25" s="80" t="inlineStr">
        <is>
          <t>FORECAST</t>
        </is>
      </c>
      <c r="I25" s="74" t="inlineStr">
        <is>
          <t>S11</t>
        </is>
      </c>
      <c r="J25" s="77" t="inlineStr">
        <is>
          <t>ETF wrapper analogue at year 10 of adoption. Search S11 for domestic equity ETF net assets</t>
        </is>
      </c>
    </row>
    <row r="26" ht="15" customHeight="1">
      <c r="A26" s="23" t="n">
        <v>2031</v>
      </c>
      <c r="B26" s="24" t="n">
        <v>0.09</v>
      </c>
      <c r="C26" s="24" t="n">
        <v>0.04</v>
      </c>
      <c r="D26" s="24" t="n">
        <v>0.01</v>
      </c>
      <c r="F26" s="13" t="inlineStr">
        <is>
          <t>Bernstein forecast - see Basis column</t>
        </is>
      </c>
      <c r="G26" s="14" t="inlineStr"/>
      <c r="H26" s="80" t="inlineStr">
        <is>
          <t>FORECAST</t>
        </is>
      </c>
      <c r="I26" s="74" t="inlineStr">
        <is>
          <t>SX</t>
        </is>
      </c>
      <c r="J26" s="77" t="inlineStr">
        <is>
          <t>Judgement. No document supports a 2031 penetration rate</t>
        </is>
      </c>
    </row>
    <row r="27" ht="15" customHeight="1">
      <c r="A27" s="23" t="n">
        <v>2032</v>
      </c>
      <c r="B27" s="24" t="n">
        <v>0.12</v>
      </c>
      <c r="C27" s="24" t="n">
        <v>0.06</v>
      </c>
      <c r="D27" s="24" t="n">
        <v>0.02</v>
      </c>
      <c r="F27" s="13" t="inlineStr">
        <is>
          <t>Bernstein forecast - see Basis column</t>
        </is>
      </c>
      <c r="G27" s="14" t="inlineStr"/>
      <c r="H27" s="80" t="inlineStr">
        <is>
          <t>FORECAST</t>
        </is>
      </c>
      <c r="I27" s="74" t="inlineStr">
        <is>
          <t>SX</t>
        </is>
      </c>
      <c r="J27" s="77" t="inlineStr">
        <is>
          <t>Judgement. No document supports a 2032 penetration rate</t>
        </is>
      </c>
    </row>
    <row r="28" ht="15" customHeight="1">
      <c r="A28" s="23" t="n">
        <v>2033</v>
      </c>
      <c r="B28" s="24" t="n">
        <v>0.15</v>
      </c>
      <c r="C28" s="24" t="n">
        <v>0.08</v>
      </c>
      <c r="D28" s="24" t="n">
        <v>0.03</v>
      </c>
      <c r="F28" s="13" t="inlineStr">
        <is>
          <t>Bernstein forecast - see Basis column</t>
        </is>
      </c>
      <c r="G28" s="14" t="inlineStr"/>
      <c r="H28" s="80" t="inlineStr">
        <is>
          <t>FORECAST</t>
        </is>
      </c>
      <c r="I28" s="74" t="inlineStr">
        <is>
          <t>SX</t>
        </is>
      </c>
      <c r="J28" s="77" t="inlineStr">
        <is>
          <t>Judgement. No document supports a 2033 penetration rate</t>
        </is>
      </c>
    </row>
    <row r="29" ht="15" customHeight="1">
      <c r="A29" s="23" t="n">
        <v>2034</v>
      </c>
      <c r="B29" s="24" t="n">
        <v>0.18</v>
      </c>
      <c r="C29" s="24" t="n">
        <v>0.1</v>
      </c>
      <c r="D29" s="24" t="n">
        <v>0.04</v>
      </c>
      <c r="F29" s="13" t="inlineStr">
        <is>
          <t>Bernstein forecast - see Basis column</t>
        </is>
      </c>
      <c r="G29" s="14" t="inlineStr"/>
      <c r="H29" s="80" t="inlineStr">
        <is>
          <t>FORECAST</t>
        </is>
      </c>
      <c r="I29" s="74" t="inlineStr">
        <is>
          <t>SX</t>
        </is>
      </c>
      <c r="J29" s="77" t="inlineStr">
        <is>
          <t>Judgement. No document supports a 2034 penetration rate</t>
        </is>
      </c>
    </row>
    <row r="30" ht="15" customHeight="1">
      <c r="A30" s="23" t="n">
        <v>2035</v>
      </c>
      <c r="B30" s="24" t="n">
        <v>0.2</v>
      </c>
      <c r="C30" s="24" t="n">
        <v>0.12</v>
      </c>
      <c r="D30" s="24" t="n">
        <v>0.05</v>
      </c>
      <c r="F30" s="13" t="inlineStr">
        <is>
          <t>Bernstein forecast - see Basis column</t>
        </is>
      </c>
      <c r="G30" s="14" t="inlineStr"/>
      <c r="H30" s="80" t="inlineStr">
        <is>
          <t>FORECAST</t>
        </is>
      </c>
      <c r="I30" s="74" t="inlineStr">
        <is>
          <t>SX</t>
        </is>
      </c>
      <c r="J30" s="77" t="inlineStr">
        <is>
          <t>Terminal year. Bracketed by the ETF wrapper as the high case and the ADR wrapper as the low case</t>
        </is>
      </c>
    </row>
    <row r="32" ht="15" customHeight="1">
      <c r="A32" s="9" t="inlineStr">
        <is>
          <t>Market Cap Growth Assumptions</t>
        </is>
      </c>
      <c r="B32" s="10" t="n"/>
      <c r="C32" s="10" t="n"/>
      <c r="D32" s="10" t="n"/>
      <c r="E32" s="10" t="n"/>
      <c r="F32" s="10" t="n"/>
      <c r="G32" s="10" t="n"/>
    </row>
    <row r="33" ht="15" customHeight="1">
      <c r="A33" s="11" t="inlineStr">
        <is>
          <t>Annual equity market cap growth rate</t>
        </is>
      </c>
      <c r="B33" s="24" t="n">
        <v>0.05</v>
      </c>
      <c r="C33" s="21" t="inlineStr">
        <is>
          <t>Applied uniformly across segments</t>
        </is>
      </c>
      <c r="F33" s="13" t="inlineStr">
        <is>
          <t>Bernstein LT nominal equity return assumption (~5% = ~2% real + ~3% inflation)</t>
        </is>
      </c>
      <c r="G33" s="25" t="inlineStr">
        <is>
          <t>Bernstein internal — no public link</t>
        </is>
      </c>
      <c r="H33" s="80" t="inlineStr">
        <is>
          <t>FORECAST</t>
        </is>
      </c>
      <c r="I33" s="74" t="inlineStr">
        <is>
          <t>SX</t>
        </is>
      </c>
      <c r="J33" s="77" t="inlineStr">
        <is>
          <t>Long-run nominal equity market growth. Bernstein internal assumption, no public document</t>
        </is>
      </c>
    </row>
  </sheetData>
  <mergeCells count="1">
    <mergeCell ref="B18:D18"/>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12" r:id="rId4"/>
    <hyperlink xmlns:r="http://schemas.openxmlformats.org/officeDocument/2006/relationships" ref="G13" r:id="rId5"/>
    <hyperlink xmlns:r="http://schemas.openxmlformats.org/officeDocument/2006/relationships" ref="G21" r:id="rId6"/>
    <hyperlink xmlns:r="http://schemas.openxmlformats.org/officeDocument/2006/relationships" ref="G22" r:id="rId7"/>
    <hyperlink xmlns:r="http://schemas.openxmlformats.org/officeDocument/2006/relationships" ref="G23" r:id="rId8"/>
    <hyperlink xmlns:r="http://schemas.openxmlformats.org/officeDocument/2006/relationships" ref="G24" r:id="rId9"/>
    <hyperlink xmlns:r="http://schemas.openxmlformats.org/officeDocument/2006/relationships" ref="G25" r:id="rId10"/>
    <hyperlink xmlns:r="http://schemas.openxmlformats.org/officeDocument/2006/relationships" ref="G26" r:id="rId11"/>
    <hyperlink xmlns:r="http://schemas.openxmlformats.org/officeDocument/2006/relationships" ref="G27" r:id="rId12"/>
    <hyperlink xmlns:r="http://schemas.openxmlformats.org/officeDocument/2006/relationships" ref="G28" r:id="rId13"/>
    <hyperlink xmlns:r="http://schemas.openxmlformats.org/officeDocument/2006/relationships" ref="G29" r:id="rId14"/>
    <hyperlink xmlns:r="http://schemas.openxmlformats.org/officeDocument/2006/relationships" ref="G30" r:id="rId15"/>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2E75B6"/>
    <outlinePr summaryBelow="1" summaryRight="1"/>
    <pageSetUpPr/>
  </sheetPr>
  <dimension ref="A1:K32"/>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38" customWidth="1" min="1" max="1"/>
    <col width="16" customWidth="1" min="2" max="14"/>
  </cols>
  <sheetData>
    <row r="1" ht="17.25" customHeight="1">
      <c r="A1" s="7" t="inlineStr">
        <is>
          <t>US Tokenized Equity Market Cap Projection ($Bn)</t>
        </is>
      </c>
    </row>
    <row r="3" ht="15" customHeight="1">
      <c r="A3" s="26" t="n"/>
      <c r="B3" s="27" t="n">
        <v>2026</v>
      </c>
      <c r="C3" s="27" t="n">
        <v>2027</v>
      </c>
      <c r="D3" s="27" t="n">
        <v>2028</v>
      </c>
      <c r="E3" s="27" t="n">
        <v>2029</v>
      </c>
      <c r="F3" s="27" t="n">
        <v>2030</v>
      </c>
      <c r="G3" s="27" t="n">
        <v>2031</v>
      </c>
      <c r="H3" s="27" t="n">
        <v>2032</v>
      </c>
      <c r="I3" s="27" t="n">
        <v>2033</v>
      </c>
      <c r="J3" s="27" t="n">
        <v>2034</v>
      </c>
      <c r="K3" s="27" t="n">
        <v>2035</v>
      </c>
    </row>
    <row r="4" ht="15" customHeight="1">
      <c r="A4" s="28" t="inlineStr">
        <is>
          <t>SEGMENT MARKET CAP (GROWING AT EQUITY MKT GROWTH RATE)</t>
        </is>
      </c>
    </row>
    <row r="5" ht="15" customHeight="1">
      <c r="A5" s="11" t="inlineStr">
        <is>
          <t>Low ADV segment market cap ($Bn)</t>
        </is>
      </c>
      <c r="B5" s="19">
        <f>Assumptions!B13</f>
        <v/>
      </c>
      <c r="C5" s="19">
        <f>B5*(1+Assumptions!B33)</f>
        <v/>
      </c>
      <c r="D5" s="19">
        <f>C5*(1+Assumptions!B33)</f>
        <v/>
      </c>
      <c r="E5" s="19">
        <f>D5*(1+Assumptions!B33)</f>
        <v/>
      </c>
      <c r="F5" s="19">
        <f>E5*(1+Assumptions!B33)</f>
        <v/>
      </c>
      <c r="G5" s="19">
        <f>F5*(1+Assumptions!B33)</f>
        <v/>
      </c>
      <c r="H5" s="19">
        <f>G5*(1+Assumptions!B33)</f>
        <v/>
      </c>
      <c r="I5" s="19">
        <f>H5*(1+Assumptions!B33)</f>
        <v/>
      </c>
      <c r="J5" s="19">
        <f>I5*(1+Assumptions!B33)</f>
        <v/>
      </c>
      <c r="K5" s="19">
        <f>J5*(1+Assumptions!B33)</f>
        <v/>
      </c>
    </row>
    <row r="6" ht="15" customHeight="1">
      <c r="A6" s="11" t="inlineStr">
        <is>
          <t>Mid ADV segment market cap ($Bn)</t>
        </is>
      </c>
      <c r="B6" s="19">
        <f>Assumptions!C13</f>
        <v/>
      </c>
      <c r="C6" s="19">
        <f>B6*(1+Assumptions!B33)</f>
        <v/>
      </c>
      <c r="D6" s="19">
        <f>C6*(1+Assumptions!B33)</f>
        <v/>
      </c>
      <c r="E6" s="19">
        <f>D6*(1+Assumptions!B33)</f>
        <v/>
      </c>
      <c r="F6" s="19">
        <f>E6*(1+Assumptions!B33)</f>
        <v/>
      </c>
      <c r="G6" s="19">
        <f>F6*(1+Assumptions!B33)</f>
        <v/>
      </c>
      <c r="H6" s="19">
        <f>G6*(1+Assumptions!B33)</f>
        <v/>
      </c>
      <c r="I6" s="19">
        <f>H6*(1+Assumptions!B33)</f>
        <v/>
      </c>
      <c r="J6" s="19">
        <f>I6*(1+Assumptions!B33)</f>
        <v/>
      </c>
      <c r="K6" s="19">
        <f>J6*(1+Assumptions!B33)</f>
        <v/>
      </c>
    </row>
    <row r="7" ht="15" customHeight="1">
      <c r="A7" s="11" t="inlineStr">
        <is>
          <t>High ADV segment market cap ($Bn)</t>
        </is>
      </c>
      <c r="B7" s="19">
        <f>Assumptions!D13</f>
        <v/>
      </c>
      <c r="C7" s="19">
        <f>B7*(1+Assumptions!B33)</f>
        <v/>
      </c>
      <c r="D7" s="19">
        <f>C7*(1+Assumptions!B33)</f>
        <v/>
      </c>
      <c r="E7" s="19">
        <f>D7*(1+Assumptions!B33)</f>
        <v/>
      </c>
      <c r="F7" s="19">
        <f>E7*(1+Assumptions!B33)</f>
        <v/>
      </c>
      <c r="G7" s="19">
        <f>F7*(1+Assumptions!B33)</f>
        <v/>
      </c>
      <c r="H7" s="19">
        <f>G7*(1+Assumptions!B33)</f>
        <v/>
      </c>
      <c r="I7" s="19">
        <f>H7*(1+Assumptions!B33)</f>
        <v/>
      </c>
      <c r="J7" s="19">
        <f>I7*(1+Assumptions!B33)</f>
        <v/>
      </c>
      <c r="K7" s="19">
        <f>J7*(1+Assumptions!B33)</f>
        <v/>
      </c>
    </row>
    <row r="8" ht="15" customHeight="1">
      <c r="A8" s="22" t="inlineStr">
        <is>
          <t>Total US equity market cap ($Bn)</t>
        </is>
      </c>
      <c r="B8" s="29">
        <f>SUM(B5:B7)</f>
        <v/>
      </c>
      <c r="C8" s="29">
        <f>SUM(C5:C7)</f>
        <v/>
      </c>
      <c r="D8" s="29">
        <f>SUM(D5:D7)</f>
        <v/>
      </c>
      <c r="E8" s="29">
        <f>SUM(E5:E7)</f>
        <v/>
      </c>
      <c r="F8" s="29">
        <f>SUM(F5:F7)</f>
        <v/>
      </c>
      <c r="G8" s="29">
        <f>SUM(G5:G7)</f>
        <v/>
      </c>
      <c r="H8" s="29">
        <f>SUM(H5:H7)</f>
        <v/>
      </c>
      <c r="I8" s="29">
        <f>SUM(I5:I7)</f>
        <v/>
      </c>
      <c r="J8" s="29">
        <f>SUM(J5:J7)</f>
        <v/>
      </c>
      <c r="K8" s="29">
        <f>SUM(K5:K7)</f>
        <v/>
      </c>
    </row>
    <row r="10" ht="15" customHeight="1">
      <c r="A10" s="28" t="inlineStr">
        <is>
          <t>TOKENIZATION PENETRATION RATES</t>
        </is>
      </c>
    </row>
    <row r="11" ht="15" customHeight="1">
      <c r="A11" s="11" t="inlineStr">
        <is>
          <t>Low ADV penetration</t>
        </is>
      </c>
      <c r="B11" s="30">
        <f>Assumptions!B21</f>
        <v/>
      </c>
      <c r="C11" s="30">
        <f>Assumptions!B22</f>
        <v/>
      </c>
      <c r="D11" s="30">
        <f>Assumptions!B23</f>
        <v/>
      </c>
      <c r="E11" s="30">
        <f>Assumptions!B24</f>
        <v/>
      </c>
      <c r="F11" s="30">
        <f>Assumptions!B25</f>
        <v/>
      </c>
      <c r="G11" s="30">
        <f>Assumptions!B26</f>
        <v/>
      </c>
      <c r="H11" s="30">
        <f>Assumptions!B27</f>
        <v/>
      </c>
      <c r="I11" s="30">
        <f>Assumptions!B28</f>
        <v/>
      </c>
      <c r="J11" s="30">
        <f>Assumptions!B29</f>
        <v/>
      </c>
      <c r="K11" s="30">
        <f>Assumptions!B30</f>
        <v/>
      </c>
    </row>
    <row r="12" ht="15" customHeight="1">
      <c r="A12" s="11" t="inlineStr">
        <is>
          <t>Mid ADV penetration</t>
        </is>
      </c>
      <c r="B12" s="30">
        <f>Assumptions!C21</f>
        <v/>
      </c>
      <c r="C12" s="30">
        <f>Assumptions!C22</f>
        <v/>
      </c>
      <c r="D12" s="30">
        <f>Assumptions!C23</f>
        <v/>
      </c>
      <c r="E12" s="30">
        <f>Assumptions!C24</f>
        <v/>
      </c>
      <c r="F12" s="30">
        <f>Assumptions!C25</f>
        <v/>
      </c>
      <c r="G12" s="30">
        <f>Assumptions!C26</f>
        <v/>
      </c>
      <c r="H12" s="30">
        <f>Assumptions!C27</f>
        <v/>
      </c>
      <c r="I12" s="30">
        <f>Assumptions!C28</f>
        <v/>
      </c>
      <c r="J12" s="30">
        <f>Assumptions!C29</f>
        <v/>
      </c>
      <c r="K12" s="30">
        <f>Assumptions!C30</f>
        <v/>
      </c>
    </row>
    <row r="13" ht="15" customHeight="1">
      <c r="A13" s="11" t="inlineStr">
        <is>
          <t>High ADV penetration</t>
        </is>
      </c>
      <c r="B13" s="30">
        <f>Assumptions!D21</f>
        <v/>
      </c>
      <c r="C13" s="30">
        <f>Assumptions!D22</f>
        <v/>
      </c>
      <c r="D13" s="30">
        <f>Assumptions!D23</f>
        <v/>
      </c>
      <c r="E13" s="30">
        <f>Assumptions!D24</f>
        <v/>
      </c>
      <c r="F13" s="30">
        <f>Assumptions!D25</f>
        <v/>
      </c>
      <c r="G13" s="30">
        <f>Assumptions!D26</f>
        <v/>
      </c>
      <c r="H13" s="30">
        <f>Assumptions!D27</f>
        <v/>
      </c>
      <c r="I13" s="30">
        <f>Assumptions!D28</f>
        <v/>
      </c>
      <c r="J13" s="30">
        <f>Assumptions!D29</f>
        <v/>
      </c>
      <c r="K13" s="30">
        <f>Assumptions!D30</f>
        <v/>
      </c>
    </row>
    <row r="15" ht="15" customHeight="1">
      <c r="A15" s="28" t="inlineStr">
        <is>
          <t>TOKENIZED MARKET CAP BY SEGMENT ($Bn)</t>
        </is>
      </c>
    </row>
    <row r="16" ht="15" customHeight="1">
      <c r="A16" s="11" t="inlineStr">
        <is>
          <t>Low ADV tokenized mkt cap ($Bn)</t>
        </is>
      </c>
      <c r="B16" s="19">
        <f>B5*B11</f>
        <v/>
      </c>
      <c r="C16" s="19">
        <f>C5*C11</f>
        <v/>
      </c>
      <c r="D16" s="19">
        <f>D5*D11</f>
        <v/>
      </c>
      <c r="E16" s="19">
        <f>E5*E11</f>
        <v/>
      </c>
      <c r="F16" s="19">
        <f>F5*F11</f>
        <v/>
      </c>
      <c r="G16" s="19">
        <f>G5*G11</f>
        <v/>
      </c>
      <c r="H16" s="19">
        <f>H5*H11</f>
        <v/>
      </c>
      <c r="I16" s="19">
        <f>I5*I11</f>
        <v/>
      </c>
      <c r="J16" s="19">
        <f>J5*J11</f>
        <v/>
      </c>
      <c r="K16" s="19">
        <f>K5*K11</f>
        <v/>
      </c>
    </row>
    <row r="17" ht="15" customHeight="1">
      <c r="A17" s="11" t="inlineStr">
        <is>
          <t>Mid ADV tokenized mkt cap ($Bn)</t>
        </is>
      </c>
      <c r="B17" s="19">
        <f>B6*B12</f>
        <v/>
      </c>
      <c r="C17" s="19">
        <f>C6*C12</f>
        <v/>
      </c>
      <c r="D17" s="19">
        <f>D6*D12</f>
        <v/>
      </c>
      <c r="E17" s="19">
        <f>E6*E12</f>
        <v/>
      </c>
      <c r="F17" s="19">
        <f>F6*F12</f>
        <v/>
      </c>
      <c r="G17" s="19">
        <f>G6*G12</f>
        <v/>
      </c>
      <c r="H17" s="19">
        <f>H6*H12</f>
        <v/>
      </c>
      <c r="I17" s="19">
        <f>I6*I12</f>
        <v/>
      </c>
      <c r="J17" s="19">
        <f>J6*J12</f>
        <v/>
      </c>
      <c r="K17" s="19">
        <f>K6*K12</f>
        <v/>
      </c>
    </row>
    <row r="18" ht="15" customHeight="1">
      <c r="A18" s="11" t="inlineStr">
        <is>
          <t>High ADV tokenized mkt cap ($Bn)</t>
        </is>
      </c>
      <c r="B18" s="19">
        <f>B7*B13</f>
        <v/>
      </c>
      <c r="C18" s="19">
        <f>C7*C13</f>
        <v/>
      </c>
      <c r="D18" s="19">
        <f>D7*D13</f>
        <v/>
      </c>
      <c r="E18" s="19">
        <f>E7*E13</f>
        <v/>
      </c>
      <c r="F18" s="19">
        <f>F7*F13</f>
        <v/>
      </c>
      <c r="G18" s="19">
        <f>G7*G13</f>
        <v/>
      </c>
      <c r="H18" s="19">
        <f>H7*H13</f>
        <v/>
      </c>
      <c r="I18" s="19">
        <f>I7*I13</f>
        <v/>
      </c>
      <c r="J18" s="19">
        <f>J7*J13</f>
        <v/>
      </c>
      <c r="K18" s="19">
        <f>K7*K13</f>
        <v/>
      </c>
    </row>
    <row r="20" ht="15" customHeight="1">
      <c r="A20" s="8" t="inlineStr">
        <is>
          <t>Total tokenized equity market cap ($Bn)</t>
        </is>
      </c>
      <c r="B20" s="31">
        <f>SUM(B16:B18)</f>
        <v/>
      </c>
      <c r="C20" s="31">
        <f>SUM(C16:C18)</f>
        <v/>
      </c>
      <c r="D20" s="31">
        <f>SUM(D16:D18)</f>
        <v/>
      </c>
      <c r="E20" s="31">
        <f>SUM(E16:E18)</f>
        <v/>
      </c>
      <c r="F20" s="31">
        <f>SUM(F16:F18)</f>
        <v/>
      </c>
      <c r="G20" s="31">
        <f>SUM(G16:G18)</f>
        <v/>
      </c>
      <c r="H20" s="31">
        <f>SUM(H16:H18)</f>
        <v/>
      </c>
      <c r="I20" s="31">
        <f>SUM(I16:I18)</f>
        <v/>
      </c>
      <c r="J20" s="31">
        <f>SUM(J16:J18)</f>
        <v/>
      </c>
      <c r="K20" s="31">
        <f>SUM(K16:K18)</f>
        <v/>
      </c>
    </row>
    <row r="21" ht="15" customHeight="1">
      <c r="A21" s="11" t="inlineStr">
        <is>
          <t>Blended penetration (% of total mkt cap)</t>
        </is>
      </c>
      <c r="B21" s="20">
        <f>B20/B8</f>
        <v/>
      </c>
      <c r="C21" s="20">
        <f>C20/C8</f>
        <v/>
      </c>
      <c r="D21" s="20">
        <f>D20/D8</f>
        <v/>
      </c>
      <c r="E21" s="20">
        <f>E20/E8</f>
        <v/>
      </c>
      <c r="F21" s="20">
        <f>F20/F8</f>
        <v/>
      </c>
      <c r="G21" s="20">
        <f>G20/G8</f>
        <v/>
      </c>
      <c r="H21" s="20">
        <f>H20/H8</f>
        <v/>
      </c>
      <c r="I21" s="20">
        <f>I20/I8</f>
        <v/>
      </c>
      <c r="J21" s="20">
        <f>J20/J8</f>
        <v/>
      </c>
      <c r="K21" s="20">
        <f>K20/K8</f>
        <v/>
      </c>
    </row>
    <row r="23" ht="15" customHeight="1">
      <c r="A23" s="28" t="inlineStr">
        <is>
          <t>CONTRIBUTION BREAKDOWN</t>
        </is>
      </c>
    </row>
    <row r="24" ht="15" customHeight="1">
      <c r="A24" s="11" t="inlineStr">
        <is>
          <t>Low ADV % of tokenized total</t>
        </is>
      </c>
      <c r="B24" s="20">
        <f>IF(B20=0,0,B16/B20)</f>
        <v/>
      </c>
      <c r="C24" s="20">
        <f>IF(C20=0,0,C16/C20)</f>
        <v/>
      </c>
      <c r="D24" s="20">
        <f>IF(D20=0,0,D16/D20)</f>
        <v/>
      </c>
      <c r="E24" s="20">
        <f>IF(E20=0,0,E16/E20)</f>
        <v/>
      </c>
      <c r="F24" s="20">
        <f>IF(F20=0,0,F16/F20)</f>
        <v/>
      </c>
      <c r="G24" s="20">
        <f>IF(G20=0,0,G16/G20)</f>
        <v/>
      </c>
      <c r="H24" s="20">
        <f>IF(H20=0,0,H16/H20)</f>
        <v/>
      </c>
      <c r="I24" s="20">
        <f>IF(I20=0,0,I16/I20)</f>
        <v/>
      </c>
      <c r="J24" s="20">
        <f>IF(J20=0,0,J16/J20)</f>
        <v/>
      </c>
      <c r="K24" s="20">
        <f>IF(K20=0,0,K16/K20)</f>
        <v/>
      </c>
    </row>
    <row r="25" ht="15" customHeight="1">
      <c r="A25" s="11" t="inlineStr">
        <is>
          <t>Mid ADV % of tokenized total</t>
        </is>
      </c>
      <c r="B25" s="20">
        <f>IF(B20=0,0,B17/B20)</f>
        <v/>
      </c>
      <c r="C25" s="20">
        <f>IF(C20=0,0,C17/C20)</f>
        <v/>
      </c>
      <c r="D25" s="20">
        <f>IF(D20=0,0,D17/D20)</f>
        <v/>
      </c>
      <c r="E25" s="20">
        <f>IF(E20=0,0,E17/E20)</f>
        <v/>
      </c>
      <c r="F25" s="20">
        <f>IF(F20=0,0,F17/F20)</f>
        <v/>
      </c>
      <c r="G25" s="20">
        <f>IF(G20=0,0,G17/G20)</f>
        <v/>
      </c>
      <c r="H25" s="20">
        <f>IF(H20=0,0,H17/H20)</f>
        <v/>
      </c>
      <c r="I25" s="20">
        <f>IF(I20=0,0,I17/I20)</f>
        <v/>
      </c>
      <c r="J25" s="20">
        <f>IF(J20=0,0,J17/J20)</f>
        <v/>
      </c>
      <c r="K25" s="20">
        <f>IF(K20=0,0,K17/K20)</f>
        <v/>
      </c>
    </row>
    <row r="26" ht="15" customHeight="1">
      <c r="A26" s="11" t="inlineStr">
        <is>
          <t>High ADV % of tokenized total</t>
        </is>
      </c>
      <c r="B26" s="20">
        <f>IF(B20=0,0,B18/B20)</f>
        <v/>
      </c>
      <c r="C26" s="20">
        <f>IF(C20=0,0,C18/C20)</f>
        <v/>
      </c>
      <c r="D26" s="20">
        <f>IF(D20=0,0,D18/D20)</f>
        <v/>
      </c>
      <c r="E26" s="20">
        <f>IF(E20=0,0,E18/E20)</f>
        <v/>
      </c>
      <c r="F26" s="20">
        <f>IF(F20=0,0,F18/F20)</f>
        <v/>
      </c>
      <c r="G26" s="20">
        <f>IF(G20=0,0,G18/G20)</f>
        <v/>
      </c>
      <c r="H26" s="20">
        <f>IF(H20=0,0,H18/H20)</f>
        <v/>
      </c>
      <c r="I26" s="20">
        <f>IF(I20=0,0,I18/I20)</f>
        <v/>
      </c>
      <c r="J26" s="20">
        <f>IF(J20=0,0,J18/J20)</f>
        <v/>
      </c>
      <c r="K26" s="20">
        <f>IF(K20=0,0,K18/K20)</f>
        <v/>
      </c>
    </row>
    <row r="28" ht="15" customHeight="1">
      <c r="A28" s="28" t="inlineStr">
        <is>
          <t>IMPLIED TOKENIZED ISSUERS (APPROX)</t>
        </is>
      </c>
    </row>
    <row r="29" ht="15" customHeight="1">
      <c r="A29" s="11" t="inlineStr">
        <is>
          <t>Low ADV issuers tokenized</t>
        </is>
      </c>
      <c r="B29" s="18">
        <f>Assumptions!B12*Assumptions!B21</f>
        <v/>
      </c>
      <c r="C29" s="18">
        <f>Assumptions!B12*Assumptions!B22</f>
        <v/>
      </c>
      <c r="D29" s="18">
        <f>Assumptions!B12*Assumptions!B23</f>
        <v/>
      </c>
      <c r="E29" s="18">
        <f>Assumptions!B12*Assumptions!B24</f>
        <v/>
      </c>
      <c r="F29" s="18">
        <f>Assumptions!B12*Assumptions!B25</f>
        <v/>
      </c>
      <c r="G29" s="18">
        <f>Assumptions!B12*Assumptions!B26</f>
        <v/>
      </c>
      <c r="H29" s="18">
        <f>Assumptions!B12*Assumptions!B27</f>
        <v/>
      </c>
      <c r="I29" s="18">
        <f>Assumptions!B12*Assumptions!B28</f>
        <v/>
      </c>
      <c r="J29" s="18">
        <f>Assumptions!B12*Assumptions!B29</f>
        <v/>
      </c>
      <c r="K29" s="18">
        <f>Assumptions!B12*Assumptions!B30</f>
        <v/>
      </c>
    </row>
    <row r="30" ht="15" customHeight="1">
      <c r="A30" s="11" t="inlineStr">
        <is>
          <t>Mid ADV issuers tokenized</t>
        </is>
      </c>
      <c r="B30" s="18">
        <f>Assumptions!C12*Assumptions!C21</f>
        <v/>
      </c>
      <c r="C30" s="18">
        <f>Assumptions!C12*Assumptions!C22</f>
        <v/>
      </c>
      <c r="D30" s="18">
        <f>Assumptions!C12*Assumptions!C23</f>
        <v/>
      </c>
      <c r="E30" s="18">
        <f>Assumptions!C12*Assumptions!C24</f>
        <v/>
      </c>
      <c r="F30" s="18">
        <f>Assumptions!C12*Assumptions!C25</f>
        <v/>
      </c>
      <c r="G30" s="18">
        <f>Assumptions!C12*Assumptions!C26</f>
        <v/>
      </c>
      <c r="H30" s="18">
        <f>Assumptions!C12*Assumptions!C27</f>
        <v/>
      </c>
      <c r="I30" s="18">
        <f>Assumptions!C12*Assumptions!C28</f>
        <v/>
      </c>
      <c r="J30" s="18">
        <f>Assumptions!C12*Assumptions!C29</f>
        <v/>
      </c>
      <c r="K30" s="18">
        <f>Assumptions!C12*Assumptions!C30</f>
        <v/>
      </c>
    </row>
    <row r="31" ht="15" customHeight="1">
      <c r="A31" s="11" t="inlineStr">
        <is>
          <t>High ADV issuers tokenized</t>
        </is>
      </c>
      <c r="B31" s="18">
        <f>Assumptions!D12*Assumptions!D21</f>
        <v/>
      </c>
      <c r="C31" s="18">
        <f>Assumptions!D12*Assumptions!D22</f>
        <v/>
      </c>
      <c r="D31" s="18">
        <f>Assumptions!D12*Assumptions!D23</f>
        <v/>
      </c>
      <c r="E31" s="18">
        <f>Assumptions!D12*Assumptions!D24</f>
        <v/>
      </c>
      <c r="F31" s="18">
        <f>Assumptions!D12*Assumptions!D25</f>
        <v/>
      </c>
      <c r="G31" s="18">
        <f>Assumptions!D12*Assumptions!D26</f>
        <v/>
      </c>
      <c r="H31" s="18">
        <f>Assumptions!D12*Assumptions!D27</f>
        <v/>
      </c>
      <c r="I31" s="18">
        <f>Assumptions!D12*Assumptions!D28</f>
        <v/>
      </c>
      <c r="J31" s="18">
        <f>Assumptions!D12*Assumptions!D29</f>
        <v/>
      </c>
      <c r="K31" s="18">
        <f>Assumptions!D12*Assumptions!D30</f>
        <v/>
      </c>
    </row>
    <row r="32" ht="15" customHeight="1">
      <c r="A32" s="22" t="inlineStr">
        <is>
          <t>Total tokenized issuers</t>
        </is>
      </c>
      <c r="B32" s="32">
        <f>SUM(B29:B31)</f>
        <v/>
      </c>
      <c r="C32" s="32">
        <f>SUM(C29:C31)</f>
        <v/>
      </c>
      <c r="D32" s="32">
        <f>SUM(D29:D31)</f>
        <v/>
      </c>
      <c r="E32" s="32">
        <f>SUM(E29:E31)</f>
        <v/>
      </c>
      <c r="F32" s="32">
        <f>SUM(F29:F31)</f>
        <v/>
      </c>
      <c r="G32" s="32">
        <f>SUM(G29:G31)</f>
        <v/>
      </c>
      <c r="H32" s="32">
        <f>SUM(H29:H31)</f>
        <v/>
      </c>
      <c r="I32" s="32">
        <f>SUM(I29:I31)</f>
        <v/>
      </c>
      <c r="J32" s="32">
        <f>SUM(J29:J31)</f>
        <v/>
      </c>
      <c r="K32" s="32">
        <f>SUM(K29:K31)</f>
        <v/>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tabColor rgb="FF7030A0"/>
    <outlinePr summaryBelow="1" summaryRight="1"/>
    <pageSetUpPr/>
  </sheetPr>
  <dimension ref="A1:Q98"/>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42" customWidth="1" min="1" max="1"/>
    <col width="18" customWidth="1" min="2" max="2"/>
    <col width="15" customWidth="1" min="3" max="13"/>
    <col width="80" customWidth="1" min="14" max="14"/>
    <col width="12" customWidth="1" min="15" max="15"/>
    <col width="9" customWidth="1" min="16" max="16"/>
    <col width="88" customWidth="1" min="17" max="17"/>
  </cols>
  <sheetData>
    <row r="1" ht="17.25" customHeight="1">
      <c r="A1" s="7" t="inlineStr">
        <is>
          <t>Tokenized US Equity Revenue Pool Analysis ($M)</t>
        </is>
      </c>
    </row>
    <row r="2" ht="15" customHeight="1">
      <c r="A2" s="33" t="inlineStr">
        <is>
          <t>Annual revenue by segment, linked to base case tokenized market cap projection</t>
        </is>
      </c>
    </row>
    <row r="4" ht="15" customHeight="1">
      <c r="A4" s="9" t="n"/>
      <c r="B4" s="34" t="inlineStr">
        <is>
          <t>Assumption</t>
        </is>
      </c>
      <c r="C4" s="35" t="n">
        <v>2026</v>
      </c>
      <c r="D4" s="35" t="n">
        <v>2027</v>
      </c>
      <c r="E4" s="35" t="n">
        <v>2028</v>
      </c>
      <c r="F4" s="35" t="n">
        <v>2029</v>
      </c>
      <c r="G4" s="35" t="n">
        <v>2030</v>
      </c>
      <c r="H4" s="35" t="n">
        <v>2031</v>
      </c>
      <c r="I4" s="35" t="n">
        <v>2032</v>
      </c>
      <c r="J4" s="35" t="n">
        <v>2033</v>
      </c>
      <c r="K4" s="35" t="n">
        <v>2034</v>
      </c>
      <c r="L4" s="35" t="n">
        <v>2035</v>
      </c>
      <c r="M4" s="34" t="inlineStr">
        <is>
          <t>Source / Rationale</t>
        </is>
      </c>
      <c r="N4" s="34" t="inlineStr">
        <is>
          <t>Source Link</t>
        </is>
      </c>
      <c r="O4" s="75" t="inlineStr">
        <is>
          <t>Status</t>
        </is>
      </c>
      <c r="P4" s="75" t="inlineStr">
        <is>
          <t>Src ID</t>
        </is>
      </c>
      <c r="Q4" s="75" t="inlineStr">
        <is>
          <t>Basis / what to search in the source</t>
        </is>
      </c>
    </row>
    <row r="5" ht="15" customHeight="1">
      <c r="A5" s="28" t="inlineStr">
        <is>
          <t>INPUTS (FROM PROJECTION SHEET)</t>
        </is>
      </c>
    </row>
    <row r="6" ht="15" customHeight="1">
      <c r="A6" s="11" t="inlineStr">
        <is>
          <t>Total tokenized equity mkt cap ($Bn)</t>
        </is>
      </c>
      <c r="C6" s="36">
        <f>Projection!B20</f>
        <v/>
      </c>
      <c r="D6" s="36">
        <f>Projection!C20</f>
        <v/>
      </c>
      <c r="E6" s="36">
        <f>Projection!D20</f>
        <v/>
      </c>
      <c r="F6" s="36">
        <f>Projection!E20</f>
        <v/>
      </c>
      <c r="G6" s="36">
        <f>Projection!F20</f>
        <v/>
      </c>
      <c r="H6" s="36">
        <f>Projection!G20</f>
        <v/>
      </c>
      <c r="I6" s="36">
        <f>Projection!H20</f>
        <v/>
      </c>
      <c r="J6" s="36">
        <f>Projection!I20</f>
        <v/>
      </c>
      <c r="K6" s="36">
        <f>Projection!J20</f>
        <v/>
      </c>
      <c r="L6" s="36">
        <f>Projection!K20</f>
        <v/>
      </c>
    </row>
    <row r="7" ht="15" customHeight="1">
      <c r="A7" s="11" t="inlineStr">
        <is>
          <t>Total tokenized equity mkt cap ($M)</t>
        </is>
      </c>
      <c r="C7" s="37">
        <f>C6*1000</f>
        <v/>
      </c>
      <c r="D7" s="37">
        <f>D6*1000</f>
        <v/>
      </c>
      <c r="E7" s="37">
        <f>E6*1000</f>
        <v/>
      </c>
      <c r="F7" s="37">
        <f>F6*1000</f>
        <v/>
      </c>
      <c r="G7" s="37">
        <f>G6*1000</f>
        <v/>
      </c>
      <c r="H7" s="37">
        <f>H6*1000</f>
        <v/>
      </c>
      <c r="I7" s="37">
        <f>I6*1000</f>
        <v/>
      </c>
      <c r="J7" s="37">
        <f>J6*1000</f>
        <v/>
      </c>
      <c r="K7" s="37">
        <f>K6*1000</f>
        <v/>
      </c>
      <c r="L7" s="37">
        <f>L6*1000</f>
        <v/>
      </c>
      <c r="M7" s="13" t="inlineStr">
        <is>
          <t>Conversion for revenue calc</t>
        </is>
      </c>
    </row>
    <row r="9" ht="15" customHeight="1">
      <c r="A9" s="38" t="inlineStr">
        <is>
          <t>1. TRADING REVENUE</t>
        </is>
      </c>
      <c r="B9" s="39" t="n"/>
      <c r="C9" s="39" t="n"/>
      <c r="D9" s="39" t="n"/>
      <c r="E9" s="39" t="n"/>
      <c r="F9" s="39" t="n"/>
      <c r="G9" s="39" t="n"/>
      <c r="H9" s="39" t="n"/>
      <c r="I9" s="39" t="n"/>
      <c r="J9" s="39" t="n"/>
      <c r="K9" s="39" t="n"/>
      <c r="L9" s="39" t="n"/>
      <c r="M9" s="39" t="n"/>
    </row>
    <row r="10" ht="15" customHeight="1">
      <c r="A10" s="11" t="inlineStr">
        <is>
          <t>Annual turnover velocity (x mkt cap)</t>
        </is>
      </c>
      <c r="C10" s="40" t="n">
        <v>0.8</v>
      </c>
      <c r="D10" s="40" t="n">
        <v>1</v>
      </c>
      <c r="E10" s="40" t="n">
        <v>1.2</v>
      </c>
      <c r="F10" s="40" t="n">
        <v>1.4</v>
      </c>
      <c r="G10" s="40" t="n">
        <v>1.6</v>
      </c>
      <c r="H10" s="40" t="n">
        <v>1.8</v>
      </c>
      <c r="I10" s="40" t="n">
        <v>2</v>
      </c>
      <c r="J10" s="40" t="n">
        <v>2.2</v>
      </c>
      <c r="K10" s="40" t="n">
        <v>2.4</v>
      </c>
      <c r="L10" s="40" t="n">
        <v>2.5</v>
      </c>
      <c r="M10" s="13" t="inlineStr">
        <is>
          <t>Turnover implied by Cboe FY25 ADV of $1.1T x 251 trading days over US market cap. The 2.5x terminal assumption is NOT consistent with that arithmetic - see Audit</t>
        </is>
      </c>
      <c r="N10" s="14" t="inlineStr">
        <is>
          <t>https://www.cboe.com/insights/posts/2025-u-s-equities-year-in-review/</t>
        </is>
      </c>
      <c r="O10" s="80" t="inlineStr">
        <is>
          <t>FORECAST</t>
        </is>
      </c>
      <c r="P10" s="74" t="inlineStr">
        <is>
          <t>S03</t>
        </is>
      </c>
      <c r="Q10" s="77" t="inlineStr">
        <is>
          <t>Ramp is judgement. Search S03 for the $1.1T ADNV figure that should anchor the terminal value</t>
        </is>
      </c>
    </row>
    <row r="11" ht="15" customHeight="1">
      <c r="A11" s="11" t="inlineStr">
        <is>
          <t>Implied annual trading volume ($M)</t>
        </is>
      </c>
      <c r="C11" s="37">
        <f>C7*C10</f>
        <v/>
      </c>
      <c r="D11" s="37">
        <f>D7*D10</f>
        <v/>
      </c>
      <c r="E11" s="37">
        <f>E7*E10</f>
        <v/>
      </c>
      <c r="F11" s="37">
        <f>F7*F10</f>
        <v/>
      </c>
      <c r="G11" s="37">
        <f>G7*G10</f>
        <v/>
      </c>
      <c r="H11" s="37">
        <f>H7*H10</f>
        <v/>
      </c>
      <c r="I11" s="37">
        <f>I7*I10</f>
        <v/>
      </c>
      <c r="J11" s="37">
        <f>J7*J10</f>
        <v/>
      </c>
      <c r="K11" s="37">
        <f>K7*K10</f>
        <v/>
      </c>
      <c r="L11" s="37">
        <f>L7*L10</f>
        <v/>
      </c>
    </row>
    <row r="12" ht="15" customHeight="1">
      <c r="A12" s="11" t="inlineStr">
        <is>
          <t>Blended take rate (bps on volume)</t>
        </is>
      </c>
      <c r="C12" s="40" t="n">
        <v>8</v>
      </c>
      <c r="D12" s="40" t="n">
        <v>7</v>
      </c>
      <c r="E12" s="40" t="n">
        <v>6</v>
      </c>
      <c r="F12" s="40" t="n">
        <v>5.5</v>
      </c>
      <c r="G12" s="40" t="n">
        <v>5</v>
      </c>
      <c r="H12" s="40" t="n">
        <v>4.5</v>
      </c>
      <c r="I12" s="40" t="n">
        <v>4</v>
      </c>
      <c r="J12" s="40" t="n">
        <v>3.5</v>
      </c>
      <c r="K12" s="40" t="n">
        <v>3</v>
      </c>
      <c r="L12" s="40" t="n">
        <v>2.5</v>
      </c>
      <c r="M12" s="13" t="inlineStr">
        <is>
          <t>Exchange fees: Cboe 2025 net capture ~$0.002/100 shares; spread: SIFMA Compendium 2025 equity market structure</t>
        </is>
      </c>
      <c r="N12" s="14" t="inlineStr">
        <is>
          <t>https://www.cboe.com/insights/posts/2025-u-s-equities-year-in-review/</t>
        </is>
      </c>
      <c r="O12" s="80" t="inlineStr">
        <is>
          <t>FORECAST</t>
        </is>
      </c>
      <c r="P12" s="74" t="inlineStr">
        <is>
          <t>S03</t>
        </is>
      </c>
      <c r="Q12" s="77" t="inlineStr">
        <is>
          <t>Search S03 for net capture. Take rate ramp itself is judgement</t>
        </is>
      </c>
    </row>
    <row r="13" ht="15" customHeight="1">
      <c r="A13" s="22" t="inlineStr">
        <is>
          <t>Trading revenue ($M)</t>
        </is>
      </c>
      <c r="C13" s="41">
        <f>C11*C12/10000</f>
        <v/>
      </c>
      <c r="D13" s="41">
        <f>D11*D12/10000</f>
        <v/>
      </c>
      <c r="E13" s="41">
        <f>E11*E12/10000</f>
        <v/>
      </c>
      <c r="F13" s="41">
        <f>F11*F12/10000</f>
        <v/>
      </c>
      <c r="G13" s="41">
        <f>G11*G12/10000</f>
        <v/>
      </c>
      <c r="H13" s="41">
        <f>H11*H12/10000</f>
        <v/>
      </c>
      <c r="I13" s="41">
        <f>I11*I12/10000</f>
        <v/>
      </c>
      <c r="J13" s="41">
        <f>J11*J12/10000</f>
        <v/>
      </c>
      <c r="K13" s="41">
        <f>K11*K12/10000</f>
        <v/>
      </c>
      <c r="L13" s="41">
        <f>L11*L12/10000</f>
        <v/>
      </c>
    </row>
    <row r="15" ht="15" customHeight="1">
      <c r="A15" s="38" t="inlineStr">
        <is>
          <t>2. MARGIN &amp; SECURITIES LENDING REVENUE</t>
        </is>
      </c>
      <c r="B15" s="39" t="n"/>
      <c r="C15" s="39" t="n"/>
      <c r="D15" s="39" t="n"/>
      <c r="E15" s="39" t="n"/>
      <c r="F15" s="39" t="n"/>
      <c r="G15" s="39" t="n"/>
      <c r="H15" s="39" t="n"/>
      <c r="I15" s="39" t="n"/>
      <c r="J15" s="39" t="n"/>
      <c r="K15" s="39" t="n"/>
      <c r="L15" s="39" t="n"/>
      <c r="M15" s="39" t="n"/>
    </row>
    <row r="16" ht="15" customHeight="1">
      <c r="A16" s="11" t="inlineStr">
        <is>
          <t>% of tokenized mkt cap available for lending</t>
        </is>
      </c>
      <c r="C16" s="24" t="n">
        <v>0.05</v>
      </c>
      <c r="D16" s="24" t="n">
        <v>0.08</v>
      </c>
      <c r="E16" s="24" t="n">
        <v>0.1</v>
      </c>
      <c r="F16" s="24" t="n">
        <v>0.12</v>
      </c>
      <c r="G16" s="24" t="n">
        <v>0.14</v>
      </c>
      <c r="H16" s="24" t="n">
        <v>0.15</v>
      </c>
      <c r="I16" s="24" t="n">
        <v>0.16</v>
      </c>
      <c r="J16" s="24" t="n">
        <v>0.17</v>
      </c>
      <c r="K16" s="24" t="n">
        <v>0.18</v>
      </c>
      <c r="L16" s="24" t="n">
        <v>0.2</v>
      </c>
      <c r="M16" s="13" t="inlineStr">
        <is>
          <t>Sec lending market: S&amp;P Global Market Intelligence Securities Finance data (15-20% of float lent)</t>
        </is>
      </c>
      <c r="N16" s="14" t="inlineStr">
        <is>
          <t>https://www.spglobal.com/marketintelligence/en/campaigns/securities-finance</t>
        </is>
      </c>
      <c r="O16" s="80" t="inlineStr">
        <is>
          <t>FORECAST</t>
        </is>
      </c>
      <c r="P16" s="74" t="inlineStr">
        <is>
          <t>S10</t>
        </is>
      </c>
      <c r="Q16" s="77" t="inlineStr">
        <is>
          <t>Search S10 for 'lendable assets increased 16 per cent to US$46.7 trillion'</t>
        </is>
      </c>
    </row>
    <row r="17" ht="15" customHeight="1">
      <c r="A17" s="11" t="inlineStr">
        <is>
          <t>Lendable pool ($M)</t>
        </is>
      </c>
      <c r="C17" s="37">
        <f>C7*C16</f>
        <v/>
      </c>
      <c r="D17" s="37">
        <f>D7*D16</f>
        <v/>
      </c>
      <c r="E17" s="37">
        <f>E7*E16</f>
        <v/>
      </c>
      <c r="F17" s="37">
        <f>F7*F16</f>
        <v/>
      </c>
      <c r="G17" s="37">
        <f>G7*G16</f>
        <v/>
      </c>
      <c r="H17" s="37">
        <f>H7*H16</f>
        <v/>
      </c>
      <c r="I17" s="37">
        <f>I7*I16</f>
        <v/>
      </c>
      <c r="J17" s="37">
        <f>J7*J16</f>
        <v/>
      </c>
      <c r="K17" s="37">
        <f>K7*K16</f>
        <v/>
      </c>
      <c r="L17" s="37">
        <f>L7*L16</f>
        <v/>
      </c>
    </row>
    <row r="18" ht="15" customHeight="1">
      <c r="A18" s="11" t="inlineStr">
        <is>
          <t>Utilization rate</t>
        </is>
      </c>
      <c r="C18" s="24" t="n">
        <v>0.15</v>
      </c>
      <c r="D18" s="24" t="n">
        <v>0.18</v>
      </c>
      <c r="E18" s="24" t="n">
        <v>0.22</v>
      </c>
      <c r="F18" s="24" t="n">
        <v>0.25</v>
      </c>
      <c r="G18" s="24" t="n">
        <v>0.28</v>
      </c>
      <c r="H18" s="24" t="n">
        <v>0.3</v>
      </c>
      <c r="I18" s="24" t="n">
        <v>0.32</v>
      </c>
      <c r="J18" s="24" t="n">
        <v>0.33</v>
      </c>
      <c r="K18" s="24" t="n">
        <v>0.34</v>
      </c>
      <c r="L18" s="24" t="n">
        <v>0.35</v>
      </c>
      <c r="M18" s="13" t="inlineStr">
        <is>
          <t>Utilization 25-35%: S&amp;P Global Sec Finance quarterly dashboard (US equity avg)</t>
        </is>
      </c>
      <c r="N18" s="14" t="inlineStr">
        <is>
          <t>https://www.spglobal.com/marketintelligence/en/campaigns/securities-finance</t>
        </is>
      </c>
      <c r="O18" s="80" t="inlineStr">
        <is>
          <t>FORECAST</t>
        </is>
      </c>
      <c r="P18" s="74" t="inlineStr">
        <is>
          <t>S10</t>
        </is>
      </c>
      <c r="Q18" s="77" t="inlineStr">
        <is>
          <t>Search S10 for 'Average balances rose 20 per cent YoY to US$3.25 trillion'. Implied utilisation 3.25/46.7 = 6.96%, well below the 15-35% modelled here</t>
        </is>
      </c>
    </row>
    <row r="19" ht="15" customHeight="1">
      <c r="A19" s="11" t="inlineStr">
        <is>
          <t>On-loan balance ($M)</t>
        </is>
      </c>
      <c r="C19" s="37">
        <f>C17*C18</f>
        <v/>
      </c>
      <c r="D19" s="37">
        <f>D17*D18</f>
        <v/>
      </c>
      <c r="E19" s="37">
        <f>E17*E18</f>
        <v/>
      </c>
      <c r="F19" s="37">
        <f>F17*F18</f>
        <v/>
      </c>
      <c r="G19" s="37">
        <f>G17*G18</f>
        <v/>
      </c>
      <c r="H19" s="37">
        <f>H17*H18</f>
        <v/>
      </c>
      <c r="I19" s="37">
        <f>I17*I18</f>
        <v/>
      </c>
      <c r="J19" s="37">
        <f>J17*J18</f>
        <v/>
      </c>
      <c r="K19" s="37">
        <f>K17*K18</f>
        <v/>
      </c>
      <c r="L19" s="37">
        <f>L17*L18</f>
        <v/>
      </c>
    </row>
    <row r="20" ht="15" customHeight="1">
      <c r="A20" s="11" t="inlineStr">
        <is>
          <t>Avg lending fee (bps, annualized)</t>
        </is>
      </c>
      <c r="C20" s="42" t="n">
        <v>50</v>
      </c>
      <c r="D20" s="42" t="n">
        <v>45</v>
      </c>
      <c r="E20" s="42" t="n">
        <v>40</v>
      </c>
      <c r="F20" s="42" t="n">
        <v>38</v>
      </c>
      <c r="G20" s="42" t="n">
        <v>35</v>
      </c>
      <c r="H20" s="42" t="n">
        <v>32</v>
      </c>
      <c r="I20" s="42" t="n">
        <v>30</v>
      </c>
      <c r="J20" s="42" t="n">
        <v>28</v>
      </c>
      <c r="K20" s="42" t="n">
        <v>26</v>
      </c>
      <c r="L20" s="42" t="n">
        <v>25</v>
      </c>
      <c r="M20" s="13" t="inlineStr">
        <is>
          <t>GC rate 25-40bps, specials higher: S&amp;P Global Sec Finance; also DataLend data</t>
        </is>
      </c>
      <c r="N20" s="14" t="inlineStr">
        <is>
          <t>https://www.spglobal.com/marketintelligence/en/campaigns/securities-finance</t>
        </is>
      </c>
      <c r="O20" s="80" t="inlineStr">
        <is>
          <t>FORECAST</t>
        </is>
      </c>
      <c r="P20" s="74" t="inlineStr">
        <is>
          <t>S10</t>
        </is>
      </c>
      <c r="Q20" s="77" t="inlineStr">
        <is>
          <t>Implied average fee = $14.9bn revenue over $3.25T on-loan = 45.8bps. Search S10 for both figures</t>
        </is>
      </c>
    </row>
    <row r="21" ht="15" customHeight="1">
      <c r="A21" s="11" t="inlineStr">
        <is>
          <t>Gross lending revenue ($M)</t>
        </is>
      </c>
      <c r="C21" s="37">
        <f>C19*C20/10000</f>
        <v/>
      </c>
      <c r="D21" s="37">
        <f>D19*D20/10000</f>
        <v/>
      </c>
      <c r="E21" s="37">
        <f>E19*E20/10000</f>
        <v/>
      </c>
      <c r="F21" s="37">
        <f>F19*F20/10000</f>
        <v/>
      </c>
      <c r="G21" s="37">
        <f>G19*G20/10000</f>
        <v/>
      </c>
      <c r="H21" s="37">
        <f>H19*H20/10000</f>
        <v/>
      </c>
      <c r="I21" s="37">
        <f>I19*I20/10000</f>
        <v/>
      </c>
      <c r="J21" s="37">
        <f>J19*J20/10000</f>
        <v/>
      </c>
      <c r="K21" s="37">
        <f>K19*K20/10000</f>
        <v/>
      </c>
      <c r="L21" s="37">
        <f>L19*L20/10000</f>
        <v/>
      </c>
    </row>
    <row r="22" ht="15" customHeight="1">
      <c r="A22" s="11" t="inlineStr">
        <is>
          <t>Platform share of lending revenue (%)</t>
        </is>
      </c>
      <c r="C22" s="24" t="n">
        <v>0.35</v>
      </c>
      <c r="D22" s="24" t="n">
        <v>0.33</v>
      </c>
      <c r="E22" s="24" t="n">
        <v>0.3</v>
      </c>
      <c r="F22" s="24" t="n">
        <v>0.28</v>
      </c>
      <c r="G22" s="24" t="n">
        <v>0.27</v>
      </c>
      <c r="H22" s="24" t="n">
        <v>0.25</v>
      </c>
      <c r="I22" s="24" t="n">
        <v>0.24</v>
      </c>
      <c r="J22" s="24" t="n">
        <v>0.23</v>
      </c>
      <c r="K22" s="24" t="n">
        <v>0.22</v>
      </c>
      <c r="L22" s="24" t="n">
        <v>0.2</v>
      </c>
      <c r="M22" s="13" t="inlineStr">
        <is>
          <t>Agent lender split ~20-35%: industry standard per State Street, BNY, JPM sec lending disclosures</t>
        </is>
      </c>
      <c r="N22" s="25" t="inlineStr">
        <is>
          <t>Bernstein estimate — no single public link</t>
        </is>
      </c>
      <c r="O22" s="80" t="inlineStr">
        <is>
          <t>FORECAST</t>
        </is>
      </c>
      <c r="P22" s="74" t="inlineStr">
        <is>
          <t>SX</t>
        </is>
      </c>
      <c r="Q22" s="77" t="inlineStr">
        <is>
          <t>Agent lender split. No public document supports the percentage</t>
        </is>
      </c>
    </row>
    <row r="23" ht="15" customHeight="1">
      <c r="A23" s="22" t="inlineStr">
        <is>
          <t>Margin &amp; sec lending revenue ($M)</t>
        </is>
      </c>
      <c r="C23" s="41">
        <f>C21*C22</f>
        <v/>
      </c>
      <c r="D23" s="41">
        <f>D21*D22</f>
        <v/>
      </c>
      <c r="E23" s="41">
        <f>E21*E22</f>
        <v/>
      </c>
      <c r="F23" s="41">
        <f>F21*F22</f>
        <v/>
      </c>
      <c r="G23" s="41">
        <f>G21*G22</f>
        <v/>
      </c>
      <c r="H23" s="41">
        <f>H21*H22</f>
        <v/>
      </c>
      <c r="I23" s="41">
        <f>I21*I22</f>
        <v/>
      </c>
      <c r="J23" s="41">
        <f>J21*J22</f>
        <v/>
      </c>
      <c r="K23" s="41">
        <f>K21*K22</f>
        <v/>
      </c>
      <c r="L23" s="41">
        <f>L21*L22</f>
        <v/>
      </c>
    </row>
    <row r="25" ht="15" customHeight="1">
      <c r="A25" s="38" t="inlineStr">
        <is>
          <t>3. PRIME BROKERAGE &amp; CUSTODY REVENUE</t>
        </is>
      </c>
      <c r="B25" s="39" t="n"/>
      <c r="C25" s="39" t="n"/>
      <c r="D25" s="39" t="n"/>
      <c r="E25" s="39" t="n"/>
      <c r="F25" s="39" t="n"/>
      <c r="G25" s="39" t="n"/>
      <c r="H25" s="39" t="n"/>
      <c r="I25" s="39" t="n"/>
      <c r="J25" s="39" t="n"/>
      <c r="K25" s="39" t="n"/>
      <c r="L25" s="39" t="n"/>
      <c r="M25" s="39" t="n"/>
    </row>
    <row r="26" ht="15" customHeight="1">
      <c r="A26" s="11" t="inlineStr">
        <is>
          <t>% of tokenized mkt cap under prime/custody</t>
        </is>
      </c>
      <c r="C26" s="24" t="n">
        <v>0.3</v>
      </c>
      <c r="D26" s="24" t="n">
        <v>0.35</v>
      </c>
      <c r="E26" s="24" t="n">
        <v>0.4</v>
      </c>
      <c r="F26" s="24" t="n">
        <v>0.45</v>
      </c>
      <c r="G26" s="24" t="n">
        <v>0.5</v>
      </c>
      <c r="H26" s="24" t="n">
        <v>0.55</v>
      </c>
      <c r="I26" s="24" t="n">
        <v>0.58</v>
      </c>
      <c r="J26" s="24" t="n">
        <v>0.6</v>
      </c>
      <c r="K26" s="24" t="n">
        <v>0.62</v>
      </c>
      <c r="L26" s="24" t="n">
        <v>0.65</v>
      </c>
      <c r="M26" s="13" t="inlineStr">
        <is>
          <t>Institutional AUM under prime ~60-70%: estimated from COIN Institutional Q1 2026 10-Q, prime balances vs total platform</t>
        </is>
      </c>
      <c r="N26" s="14" t="inlineStr">
        <is>
          <t>https://www.sec.gov/cgi-bin/browse-edgar?action=getcompany&amp;CIK=COIN&amp;type=10-Q&amp;dateb=&amp;owner=include&amp;count=10&amp;search_text=&amp;action=getcompany</t>
        </is>
      </c>
      <c r="O26" s="80" t="inlineStr">
        <is>
          <t>FORECAST</t>
        </is>
      </c>
      <c r="P26" s="74" t="inlineStr">
        <is>
          <t>SX</t>
        </is>
      </c>
      <c r="Q26" s="77" t="inlineStr">
        <is>
          <t>No public document supports the prime/custody share</t>
        </is>
      </c>
    </row>
    <row r="27" ht="15" customHeight="1">
      <c r="A27" s="11" t="inlineStr">
        <is>
          <t>Assets under prime/custody ($M)</t>
        </is>
      </c>
      <c r="C27" s="37">
        <f>C7*C26</f>
        <v/>
      </c>
      <c r="D27" s="37">
        <f>D7*D26</f>
        <v/>
      </c>
      <c r="E27" s="37">
        <f>E7*E26</f>
        <v/>
      </c>
      <c r="F27" s="37">
        <f>F7*F26</f>
        <v/>
      </c>
      <c r="G27" s="37">
        <f>G7*G26</f>
        <v/>
      </c>
      <c r="H27" s="37">
        <f>H7*H26</f>
        <v/>
      </c>
      <c r="I27" s="37">
        <f>I7*I26</f>
        <v/>
      </c>
      <c r="J27" s="37">
        <f>J7*J26</f>
        <v/>
      </c>
      <c r="K27" s="37">
        <f>K7*K26</f>
        <v/>
      </c>
      <c r="L27" s="37">
        <f>L7*L26</f>
        <v/>
      </c>
    </row>
    <row r="28" ht="15" customHeight="1">
      <c r="A28" s="11" t="inlineStr">
        <is>
          <t>Blended custody + prime fee (bps on AUC)</t>
        </is>
      </c>
      <c r="C28" s="40" t="n">
        <v>12</v>
      </c>
      <c r="D28" s="40" t="n">
        <v>11</v>
      </c>
      <c r="E28" s="40" t="n">
        <v>10</v>
      </c>
      <c r="F28" s="40" t="n">
        <v>9</v>
      </c>
      <c r="G28" s="40" t="n">
        <v>8</v>
      </c>
      <c r="H28" s="40" t="n">
        <v>7</v>
      </c>
      <c r="I28" s="40" t="n">
        <v>6.5</v>
      </c>
      <c r="J28" s="40" t="n">
        <v>6</v>
      </c>
      <c r="K28" s="40" t="n">
        <v>5.5</v>
      </c>
      <c r="L28" s="40" t="n">
        <v>5</v>
      </c>
      <c r="M28" s="13" t="inlineStr">
        <is>
          <t>Digital custody 10-50bps: COIN 2025 10-K (custody revenue / AUC); trad custody 1-5bps: BNY 10-K</t>
        </is>
      </c>
      <c r="N28" s="14" t="inlineStr">
        <is>
          <t>https://www.sec.gov/cgi-bin/browse-edgar?action=getcompany&amp;CIK=COIN&amp;type=10-K&amp;dateb=&amp;owner=include&amp;count=10&amp;search_text=&amp;action=getcompany</t>
        </is>
      </c>
      <c r="O28" s="80" t="inlineStr">
        <is>
          <t>FORECAST</t>
        </is>
      </c>
      <c r="P28" s="74" t="inlineStr">
        <is>
          <t>SX</t>
        </is>
      </c>
      <c r="Q28" s="77" t="inlineStr">
        <is>
          <t>No public document supports the blended custody fee ramp</t>
        </is>
      </c>
    </row>
    <row r="29" ht="15" customHeight="1">
      <c r="A29" s="22" t="inlineStr">
        <is>
          <t>Prime brokerage &amp; custody revenue ($M)</t>
        </is>
      </c>
      <c r="C29" s="41">
        <f>C27*C28/10000</f>
        <v/>
      </c>
      <c r="D29" s="41">
        <f>D27*D28/10000</f>
        <v/>
      </c>
      <c r="E29" s="41">
        <f>E27*E28/10000</f>
        <v/>
      </c>
      <c r="F29" s="41">
        <f>F27*F28/10000</f>
        <v/>
      </c>
      <c r="G29" s="41">
        <f>G27*G28/10000</f>
        <v/>
      </c>
      <c r="H29" s="41">
        <f>H27*H28/10000</f>
        <v/>
      </c>
      <c r="I29" s="41">
        <f>I27*I28/10000</f>
        <v/>
      </c>
      <c r="J29" s="41">
        <f>J27*J28/10000</f>
        <v/>
      </c>
      <c r="K29" s="41">
        <f>K27*K28/10000</f>
        <v/>
      </c>
      <c r="L29" s="41">
        <f>L27*L28/10000</f>
        <v/>
      </c>
    </row>
    <row r="31" ht="15" customHeight="1">
      <c r="A31" s="38" t="inlineStr">
        <is>
          <t>4. NEW ISSUANCE &amp; TOKENIZATION FEES</t>
        </is>
      </c>
      <c r="B31" s="39" t="n"/>
      <c r="C31" s="39" t="n"/>
      <c r="D31" s="39" t="n"/>
      <c r="E31" s="39" t="n"/>
      <c r="F31" s="39" t="n"/>
      <c r="G31" s="39" t="n"/>
      <c r="H31" s="39" t="n"/>
      <c r="I31" s="39" t="n"/>
      <c r="J31" s="39" t="n"/>
      <c r="K31" s="39" t="n"/>
      <c r="L31" s="39" t="n"/>
      <c r="M31" s="39" t="n"/>
    </row>
    <row r="32" ht="15" customHeight="1">
      <c r="A32" s="11" t="inlineStr">
        <is>
          <t>New issuers tokenizing per year</t>
        </is>
      </c>
      <c r="C32" s="43">
        <f>Projection!B32</f>
        <v/>
      </c>
      <c r="D32" s="43">
        <f>Projection!C32-Projection!B32</f>
        <v/>
      </c>
      <c r="E32" s="43">
        <f>Projection!D32-Projection!C32</f>
        <v/>
      </c>
      <c r="F32" s="43">
        <f>Projection!E32-Projection!D32</f>
        <v/>
      </c>
      <c r="G32" s="43">
        <f>Projection!F32-Projection!E32</f>
        <v/>
      </c>
      <c r="H32" s="43">
        <f>Projection!G32-Projection!F32</f>
        <v/>
      </c>
      <c r="I32" s="43">
        <f>Projection!H32-Projection!G32</f>
        <v/>
      </c>
      <c r="J32" s="43">
        <f>Projection!I32-Projection!H32</f>
        <v/>
      </c>
      <c r="K32" s="43">
        <f>Projection!J32-Projection!I32</f>
        <v/>
      </c>
      <c r="L32" s="43">
        <f>Projection!K32-Projection!J32</f>
        <v/>
      </c>
      <c r="M32" s="13" t="inlineStr">
        <is>
          <t>Incremental new tokenized issuers per year, from Projection sheet</t>
        </is>
      </c>
    </row>
    <row r="33" ht="15" customHeight="1">
      <c r="A33" s="11" t="inlineStr">
        <is>
          <t>Avg issuance / tokenization fee per issuer ($K)</t>
        </is>
      </c>
      <c r="C33" s="44" t="n">
        <v>500</v>
      </c>
      <c r="D33" s="44" t="n">
        <v>450</v>
      </c>
      <c r="E33" s="44" t="n">
        <v>400</v>
      </c>
      <c r="F33" s="44" t="n">
        <v>375</v>
      </c>
      <c r="G33" s="44" t="n">
        <v>350</v>
      </c>
      <c r="H33" s="44" t="n">
        <v>325</v>
      </c>
      <c r="I33" s="44" t="n">
        <v>300</v>
      </c>
      <c r="J33" s="44" t="n">
        <v>275</v>
      </c>
      <c r="K33" s="44" t="n">
        <v>250</v>
      </c>
      <c r="L33" s="44" t="n">
        <v>225</v>
      </c>
      <c r="M33" s="13" t="inlineStr">
        <is>
          <t>IPO fees 3-7%: SIFMA Fact Book 2025 Table 6.5; tokenization simpler — Bernstein est $200-500K</t>
        </is>
      </c>
      <c r="N33" s="14" t="inlineStr">
        <is>
          <t>https://www.sifma.org/research/statistics/fact-book</t>
        </is>
      </c>
      <c r="O33" s="80" t="inlineStr">
        <is>
          <t>FORECAST</t>
        </is>
      </c>
      <c r="P33" s="74" t="inlineStr">
        <is>
          <t>SX</t>
        </is>
      </c>
      <c r="Q33" s="77" t="inlineStr">
        <is>
          <t>Tokenization fee per issuer. Bernstein estimate, no public pricing exists</t>
        </is>
      </c>
    </row>
    <row r="34" ht="15" customHeight="1">
      <c r="A34" s="11" t="inlineStr">
        <is>
          <t>Issuance fee revenue ($M)</t>
        </is>
      </c>
      <c r="C34" s="37">
        <f>C32*C33/1000</f>
        <v/>
      </c>
      <c r="D34" s="37">
        <f>D32*D33/1000</f>
        <v/>
      </c>
      <c r="E34" s="37">
        <f>E32*E33/1000</f>
        <v/>
      </c>
      <c r="F34" s="37">
        <f>F32*F33/1000</f>
        <v/>
      </c>
      <c r="G34" s="37">
        <f>G32*G33/1000</f>
        <v/>
      </c>
      <c r="H34" s="37">
        <f>H32*H33/1000</f>
        <v/>
      </c>
      <c r="I34" s="37">
        <f>I32*I33/1000</f>
        <v/>
      </c>
      <c r="J34" s="37">
        <f>J32*J33/1000</f>
        <v/>
      </c>
      <c r="K34" s="37">
        <f>K32*K33/1000</f>
        <v/>
      </c>
      <c r="L34" s="37">
        <f>L32*L33/1000</f>
        <v/>
      </c>
    </row>
    <row r="35" ht="15" customHeight="1">
      <c r="A35" s="11" t="inlineStr">
        <is>
          <t>Annual TA / record-keeping fee per issuer ($K)</t>
        </is>
      </c>
      <c r="C35" s="44" t="n">
        <v>150</v>
      </c>
      <c r="D35" s="44" t="n">
        <v>145</v>
      </c>
      <c r="E35" s="44" t="n">
        <v>140</v>
      </c>
      <c r="F35" s="44" t="n">
        <v>135</v>
      </c>
      <c r="G35" s="44" t="n">
        <v>130</v>
      </c>
      <c r="H35" s="44" t="n">
        <v>125</v>
      </c>
      <c r="I35" s="44" t="n">
        <v>120</v>
      </c>
      <c r="J35" s="44" t="n">
        <v>115</v>
      </c>
      <c r="K35" s="44" t="n">
        <v>110</v>
      </c>
      <c r="L35" s="44" t="n">
        <v>100</v>
      </c>
      <c r="M35" s="13" t="inlineStr">
        <is>
          <t>TA fees ~$50-150K/yr: Computershare/AST pricing — estimated from Computershare FY25 annual report</t>
        </is>
      </c>
      <c r="N35" s="25" t="inlineStr">
        <is>
          <t>Verify on terminal — no direct public pricing page</t>
        </is>
      </c>
      <c r="O35" s="81" t="inlineStr">
        <is>
          <t>UNVERIFIED</t>
        </is>
      </c>
      <c r="P35" s="74" t="inlineStr">
        <is>
          <t>SX</t>
        </is>
      </c>
      <c r="Q35" s="77" t="inlineStr">
        <is>
          <t>Transfer agent pricing is not published by Computershare, Continental or Equiniti. Figure cannot be sourced</t>
        </is>
      </c>
    </row>
    <row r="36" ht="15" customHeight="1">
      <c r="A36" s="11" t="inlineStr">
        <is>
          <t>Cumulative tokenized issuers</t>
        </is>
      </c>
      <c r="C36" s="43">
        <f>Projection!B32</f>
        <v/>
      </c>
      <c r="D36" s="43">
        <f>Projection!C32</f>
        <v/>
      </c>
      <c r="E36" s="43">
        <f>Projection!D32</f>
        <v/>
      </c>
      <c r="F36" s="43">
        <f>Projection!E32</f>
        <v/>
      </c>
      <c r="G36" s="43">
        <f>Projection!F32</f>
        <v/>
      </c>
      <c r="H36" s="43">
        <f>Projection!G32</f>
        <v/>
      </c>
      <c r="I36" s="43">
        <f>Projection!H32</f>
        <v/>
      </c>
      <c r="J36" s="43">
        <f>Projection!I32</f>
        <v/>
      </c>
      <c r="K36" s="43">
        <f>Projection!J32</f>
        <v/>
      </c>
      <c r="L36" s="43">
        <f>Projection!K32</f>
        <v/>
      </c>
    </row>
    <row r="37" ht="15" customHeight="1">
      <c r="A37" s="11" t="inlineStr">
        <is>
          <t>Annual TA / record-keeping revenue ($M)</t>
        </is>
      </c>
      <c r="C37" s="37">
        <f>C36*C35/1000</f>
        <v/>
      </c>
      <c r="D37" s="37">
        <f>D36*D35/1000</f>
        <v/>
      </c>
      <c r="E37" s="37">
        <f>E36*E35/1000</f>
        <v/>
      </c>
      <c r="F37" s="37">
        <f>F36*F35/1000</f>
        <v/>
      </c>
      <c r="G37" s="37">
        <f>G36*G35/1000</f>
        <v/>
      </c>
      <c r="H37" s="37">
        <f>H36*H35/1000</f>
        <v/>
      </c>
      <c r="I37" s="37">
        <f>I36*I35/1000</f>
        <v/>
      </c>
      <c r="J37" s="37">
        <f>J36*J35/1000</f>
        <v/>
      </c>
      <c r="K37" s="37">
        <f>K36*K35/1000</f>
        <v/>
      </c>
      <c r="L37" s="37">
        <f>L36*L35/1000</f>
        <v/>
      </c>
    </row>
    <row r="38" ht="15" customHeight="1">
      <c r="A38" s="22" t="inlineStr">
        <is>
          <t>Total issuance + TA revenue ($M)</t>
        </is>
      </c>
      <c r="C38" s="41">
        <f>C34+C37</f>
        <v/>
      </c>
      <c r="D38" s="41">
        <f>D34+D37</f>
        <v/>
      </c>
      <c r="E38" s="41">
        <f>E34+E37</f>
        <v/>
      </c>
      <c r="F38" s="41">
        <f>F34+F37</f>
        <v/>
      </c>
      <c r="G38" s="41">
        <f>G34+G37</f>
        <v/>
      </c>
      <c r="H38" s="41">
        <f>H34+H37</f>
        <v/>
      </c>
      <c r="I38" s="41">
        <f>I34+I37</f>
        <v/>
      </c>
      <c r="J38" s="41">
        <f>J34+J37</f>
        <v/>
      </c>
      <c r="K38" s="41">
        <f>K34+K37</f>
        <v/>
      </c>
      <c r="L38" s="41">
        <f>L34+L37</f>
        <v/>
      </c>
    </row>
    <row r="40" ht="15" customHeight="1">
      <c r="A40" s="38" t="inlineStr">
        <is>
          <t>5. MARKET DATA &amp; INDEX LICENSING</t>
        </is>
      </c>
      <c r="B40" s="39" t="n"/>
      <c r="C40" s="39" t="n"/>
      <c r="D40" s="39" t="n"/>
      <c r="E40" s="39" t="n"/>
      <c r="F40" s="39" t="n"/>
      <c r="G40" s="39" t="n"/>
      <c r="H40" s="39" t="n"/>
      <c r="I40" s="39" t="n"/>
      <c r="J40" s="39" t="n"/>
      <c r="K40" s="39" t="n"/>
      <c r="L40" s="39" t="n"/>
      <c r="M40" s="39" t="n"/>
    </row>
    <row r="41" ht="15" customHeight="1">
      <c r="A41" s="11" t="inlineStr">
        <is>
          <t>Market data rev as % of trading rev</t>
        </is>
      </c>
      <c r="C41" s="24" t="n">
        <v>0.1</v>
      </c>
      <c r="D41" s="24" t="n">
        <v>0.12</v>
      </c>
      <c r="E41" s="24" t="n">
        <v>0.14</v>
      </c>
      <c r="F41" s="24" t="n">
        <v>0.15</v>
      </c>
      <c r="G41" s="24" t="n">
        <v>0.16</v>
      </c>
      <c r="H41" s="24" t="n">
        <v>0.17</v>
      </c>
      <c r="I41" s="24" t="n">
        <v>0.18</v>
      </c>
      <c r="J41" s="24" t="n">
        <v>0.19</v>
      </c>
      <c r="K41" s="24" t="n">
        <v>0.2</v>
      </c>
      <c r="L41" s="24" t="n">
        <v>0.2</v>
      </c>
      <c r="M41" s="13" t="inlineStr">
        <is>
          <t>Market data = 15-25% of exchange rev: ICE 2025 10-K (Data Services segment), NDAQ 2025 10-K (Market Technology + Info Services)</t>
        </is>
      </c>
      <c r="N41" s="14" t="inlineStr">
        <is>
          <t>https://www.sec.gov/cgi-bin/browse-edgar?action=getcompany&amp;company=intercontinental+exchange&amp;CIK=&amp;type=10-K&amp;dateb=&amp;owner=include&amp;count=5&amp;search_text=&amp;action=getcompany</t>
        </is>
      </c>
    </row>
    <row r="42" ht="15" customHeight="1">
      <c r="A42" s="22" t="inlineStr">
        <is>
          <t>Market data &amp; index licensing revenue ($M)</t>
        </is>
      </c>
      <c r="C42" s="41">
        <f>C13*C41</f>
        <v/>
      </c>
      <c r="D42" s="41">
        <f>D13*D41</f>
        <v/>
      </c>
      <c r="E42" s="41">
        <f>E13*E41</f>
        <v/>
      </c>
      <c r="F42" s="41">
        <f>F13*F41</f>
        <v/>
      </c>
      <c r="G42" s="41">
        <f>G13*G41</f>
        <v/>
      </c>
      <c r="H42" s="41">
        <f>H13*H41</f>
        <v/>
      </c>
      <c r="I42" s="41">
        <f>I13*I41</f>
        <v/>
      </c>
      <c r="J42" s="41">
        <f>J13*J41</f>
        <v/>
      </c>
      <c r="K42" s="41">
        <f>K13*K41</f>
        <v/>
      </c>
      <c r="L42" s="41">
        <f>L13*L41</f>
        <v/>
      </c>
    </row>
    <row r="44" ht="15" customHeight="1">
      <c r="A44" s="38" t="inlineStr">
        <is>
          <t>6. SETTLEMENT &amp; CLEARING FEES</t>
        </is>
      </c>
      <c r="B44" s="39" t="n"/>
      <c r="C44" s="39" t="n"/>
      <c r="D44" s="39" t="n"/>
      <c r="E44" s="39" t="n"/>
      <c r="F44" s="39" t="n"/>
      <c r="G44" s="39" t="n"/>
      <c r="H44" s="39" t="n"/>
      <c r="I44" s="39" t="n"/>
      <c r="J44" s="39" t="n"/>
      <c r="K44" s="39" t="n"/>
      <c r="L44" s="39" t="n"/>
      <c r="M44" s="39" t="n"/>
    </row>
    <row r="45" ht="15" customHeight="1">
      <c r="A45" s="11" t="inlineStr">
        <is>
          <t>Number of trades (M, implied)</t>
        </is>
      </c>
      <c r="C45" s="45">
        <f>C11/C46</f>
        <v/>
      </c>
      <c r="D45" s="45">
        <f>D11/D46</f>
        <v/>
      </c>
      <c r="E45" s="45">
        <f>E11/E46</f>
        <v/>
      </c>
      <c r="F45" s="45">
        <f>F11/F46</f>
        <v/>
      </c>
      <c r="G45" s="45">
        <f>G11/G46</f>
        <v/>
      </c>
      <c r="H45" s="45">
        <f>H11/H46</f>
        <v/>
      </c>
      <c r="I45" s="45">
        <f>I11/I46</f>
        <v/>
      </c>
      <c r="J45" s="45">
        <f>J11/J46</f>
        <v/>
      </c>
      <c r="K45" s="45">
        <f>K11/K46</f>
        <v/>
      </c>
      <c r="L45" s="45">
        <f>L11/L46</f>
        <v/>
      </c>
    </row>
    <row r="46" ht="15" customHeight="1">
      <c r="A46" s="11" t="inlineStr">
        <is>
          <t>Avg trade size ($)</t>
        </is>
      </c>
      <c r="C46" s="44" t="n">
        <v>5000</v>
      </c>
      <c r="D46" s="44" t="n">
        <v>8000</v>
      </c>
      <c r="E46" s="44" t="n">
        <v>10000</v>
      </c>
      <c r="F46" s="44" t="n">
        <v>12000</v>
      </c>
      <c r="G46" s="44" t="n">
        <v>15000</v>
      </c>
      <c r="H46" s="44" t="n">
        <v>18000</v>
      </c>
      <c r="I46" s="44" t="n">
        <v>22000</v>
      </c>
      <c r="J46" s="44" t="n">
        <v>28000</v>
      </c>
      <c r="K46" s="44" t="n">
        <v>35000</v>
      </c>
      <c r="L46" s="44" t="n">
        <v>42000</v>
      </c>
      <c r="M46" s="13" t="inlineStr">
        <is>
          <t>US equity avg trade size: Cboe market share page (notional / shares); retail skews smaller</t>
        </is>
      </c>
      <c r="N46" s="14" t="inlineStr">
        <is>
          <t>https://www.cboe.com/us/equities/market_share/</t>
        </is>
      </c>
      <c r="O46" s="80" t="inlineStr">
        <is>
          <t>FORECAST</t>
        </is>
      </c>
      <c r="P46" s="74" t="inlineStr">
        <is>
          <t>SX</t>
        </is>
      </c>
      <c r="Q46" s="77" t="inlineStr">
        <is>
          <t>Average trade size. The Cboe market share page previously cited reports share by venue, not trade size, and does not support this row</t>
        </is>
      </c>
    </row>
    <row r="47" ht="15" customHeight="1">
      <c r="A47" s="11" t="inlineStr">
        <is>
          <t>Settlement fee per trade ($)</t>
        </is>
      </c>
      <c r="C47" s="46" t="n">
        <v>0.1</v>
      </c>
      <c r="D47" s="46" t="n">
        <v>0.09</v>
      </c>
      <c r="E47" s="46" t="n">
        <v>0.08</v>
      </c>
      <c r="F47" s="46" t="n">
        <v>0.07000000000000001</v>
      </c>
      <c r="G47" s="46" t="n">
        <v>0.06</v>
      </c>
      <c r="H47" s="46" t="n">
        <v>0.05</v>
      </c>
      <c r="I47" s="46" t="n">
        <v>0.05</v>
      </c>
      <c r="J47" s="46" t="n">
        <v>0.04</v>
      </c>
      <c r="K47" s="46" t="n">
        <v>0.04</v>
      </c>
      <c r="L47" s="46" t="n">
        <v>0.03</v>
      </c>
      <c r="M47" s="13" t="inlineStr">
        <is>
          <t>NSCC value-into-net fee is $0.44 per MILLION OF NOTIONAL, not per trade. The $/trade figures below are not supported by this source - see Audit</t>
        </is>
      </c>
      <c r="N47" s="14" t="inlineStr">
        <is>
          <t>https://www.federalregister.gov/documents/2025/12/17/2025-23068/self-regulatory-organizations-national-securities-clearing-corporation-notice-of-filing-and</t>
        </is>
      </c>
      <c r="O47" s="81" t="inlineStr">
        <is>
          <t>UNVERIFIED</t>
        </is>
      </c>
      <c r="P47" s="74" t="inlineStr">
        <is>
          <t>S08</t>
        </is>
      </c>
      <c r="Q47" s="77" t="inlineStr">
        <is>
          <t>MISMATCH: the cited NSCC fee is $0.44 per million of notional. A per-trade fee of $0.03-0.10 is a different unit and is not supported. Search S08 for 'per million of processed value'</t>
        </is>
      </c>
    </row>
    <row r="48" ht="15" customHeight="1">
      <c r="A48" s="22" t="inlineStr">
        <is>
          <t>Settlement &amp; clearing revenue ($M)</t>
        </is>
      </c>
      <c r="C48" s="41">
        <f>C45*C47</f>
        <v/>
      </c>
      <c r="D48" s="41">
        <f>D45*D47</f>
        <v/>
      </c>
      <c r="E48" s="41">
        <f>E45*E47</f>
        <v/>
      </c>
      <c r="F48" s="41">
        <f>F45*F47</f>
        <v/>
      </c>
      <c r="G48" s="41">
        <f>G45*G47</f>
        <v/>
      </c>
      <c r="H48" s="41">
        <f>H45*H47</f>
        <v/>
      </c>
      <c r="I48" s="41">
        <f>I45*I47</f>
        <v/>
      </c>
      <c r="J48" s="41">
        <f>J45*J47</f>
        <v/>
      </c>
      <c r="K48" s="41">
        <f>K45*K47</f>
        <v/>
      </c>
      <c r="L48" s="41">
        <f>L45*L47</f>
        <v/>
      </c>
    </row>
    <row r="50" ht="15" customHeight="1">
      <c r="A50" s="47" t="inlineStr">
        <is>
          <t>TOTAL TOKENIZED EQUITY REVENUE POOL ($M)</t>
        </is>
      </c>
      <c r="B50" s="48" t="n"/>
      <c r="C50" s="48" t="n"/>
      <c r="D50" s="48" t="n"/>
      <c r="E50" s="48" t="n"/>
      <c r="F50" s="48" t="n"/>
      <c r="G50" s="48" t="n"/>
      <c r="H50" s="48" t="n"/>
      <c r="I50" s="48" t="n"/>
      <c r="J50" s="48" t="n"/>
      <c r="K50" s="48" t="n"/>
      <c r="L50" s="48" t="n"/>
      <c r="M50" s="48" t="n"/>
    </row>
    <row r="51" ht="15" customHeight="1">
      <c r="A51" s="11" t="inlineStr">
        <is>
          <t>1. Trading</t>
        </is>
      </c>
      <c r="C51" s="37">
        <f>C13</f>
        <v/>
      </c>
      <c r="D51" s="37">
        <f>D13</f>
        <v/>
      </c>
      <c r="E51" s="37">
        <f>E13</f>
        <v/>
      </c>
      <c r="F51" s="37">
        <f>F13</f>
        <v/>
      </c>
      <c r="G51" s="37">
        <f>G13</f>
        <v/>
      </c>
      <c r="H51" s="37">
        <f>H13</f>
        <v/>
      </c>
      <c r="I51" s="37">
        <f>I13</f>
        <v/>
      </c>
      <c r="J51" s="37">
        <f>J13</f>
        <v/>
      </c>
      <c r="K51" s="37">
        <f>K13</f>
        <v/>
      </c>
      <c r="L51" s="37">
        <f>L13</f>
        <v/>
      </c>
    </row>
    <row r="52" ht="15" customHeight="1">
      <c r="A52" s="11" t="inlineStr">
        <is>
          <t>2. Margin &amp; securities lending</t>
        </is>
      </c>
      <c r="C52" s="37">
        <f>C23</f>
        <v/>
      </c>
      <c r="D52" s="37">
        <f>D23</f>
        <v/>
      </c>
      <c r="E52" s="37">
        <f>E23</f>
        <v/>
      </c>
      <c r="F52" s="37">
        <f>F23</f>
        <v/>
      </c>
      <c r="G52" s="37">
        <f>G23</f>
        <v/>
      </c>
      <c r="H52" s="37">
        <f>H23</f>
        <v/>
      </c>
      <c r="I52" s="37">
        <f>I23</f>
        <v/>
      </c>
      <c r="J52" s="37">
        <f>J23</f>
        <v/>
      </c>
      <c r="K52" s="37">
        <f>K23</f>
        <v/>
      </c>
      <c r="L52" s="37">
        <f>L23</f>
        <v/>
      </c>
    </row>
    <row r="53" ht="15" customHeight="1">
      <c r="A53" s="11" t="inlineStr">
        <is>
          <t>3. Prime brokerage &amp; custody</t>
        </is>
      </c>
      <c r="C53" s="37">
        <f>C29</f>
        <v/>
      </c>
      <c r="D53" s="37">
        <f>D29</f>
        <v/>
      </c>
      <c r="E53" s="37">
        <f>E29</f>
        <v/>
      </c>
      <c r="F53" s="37">
        <f>F29</f>
        <v/>
      </c>
      <c r="G53" s="37">
        <f>G29</f>
        <v/>
      </c>
      <c r="H53" s="37">
        <f>H29</f>
        <v/>
      </c>
      <c r="I53" s="37">
        <f>I29</f>
        <v/>
      </c>
      <c r="J53" s="37">
        <f>J29</f>
        <v/>
      </c>
      <c r="K53" s="37">
        <f>K29</f>
        <v/>
      </c>
      <c r="L53" s="37">
        <f>L29</f>
        <v/>
      </c>
    </row>
    <row r="54" ht="15" customHeight="1">
      <c r="A54" s="11" t="inlineStr">
        <is>
          <t>4. Issuance + transfer agent fees</t>
        </is>
      </c>
      <c r="C54" s="37">
        <f>C38</f>
        <v/>
      </c>
      <c r="D54" s="37">
        <f>D38</f>
        <v/>
      </c>
      <c r="E54" s="37">
        <f>E38</f>
        <v/>
      </c>
      <c r="F54" s="37">
        <f>F38</f>
        <v/>
      </c>
      <c r="G54" s="37">
        <f>G38</f>
        <v/>
      </c>
      <c r="H54" s="37">
        <f>H38</f>
        <v/>
      </c>
      <c r="I54" s="37">
        <f>I38</f>
        <v/>
      </c>
      <c r="J54" s="37">
        <f>J38</f>
        <v/>
      </c>
      <c r="K54" s="37">
        <f>K38</f>
        <v/>
      </c>
      <c r="L54" s="37">
        <f>L38</f>
        <v/>
      </c>
    </row>
    <row r="55" ht="15" customHeight="1">
      <c r="A55" s="11" t="inlineStr">
        <is>
          <t>5. Market data &amp; index licensing</t>
        </is>
      </c>
      <c r="C55" s="37">
        <f>C42</f>
        <v/>
      </c>
      <c r="D55" s="37">
        <f>D42</f>
        <v/>
      </c>
      <c r="E55" s="37">
        <f>E42</f>
        <v/>
      </c>
      <c r="F55" s="37">
        <f>F42</f>
        <v/>
      </c>
      <c r="G55" s="37">
        <f>G42</f>
        <v/>
      </c>
      <c r="H55" s="37">
        <f>H42</f>
        <v/>
      </c>
      <c r="I55" s="37">
        <f>I42</f>
        <v/>
      </c>
      <c r="J55" s="37">
        <f>J42</f>
        <v/>
      </c>
      <c r="K55" s="37">
        <f>K42</f>
        <v/>
      </c>
      <c r="L55" s="37">
        <f>L42</f>
        <v/>
      </c>
    </row>
    <row r="56" ht="15" customHeight="1">
      <c r="A56" s="11" t="inlineStr">
        <is>
          <t>6. Settlement &amp; clearing</t>
        </is>
      </c>
      <c r="C56" s="37">
        <f>C48</f>
        <v/>
      </c>
      <c r="D56" s="37">
        <f>D48</f>
        <v/>
      </c>
      <c r="E56" s="37">
        <f>E48</f>
        <v/>
      </c>
      <c r="F56" s="37">
        <f>F48</f>
        <v/>
      </c>
      <c r="G56" s="37">
        <f>G48</f>
        <v/>
      </c>
      <c r="H56" s="37">
        <f>H48</f>
        <v/>
      </c>
      <c r="I56" s="37">
        <f>I48</f>
        <v/>
      </c>
      <c r="J56" s="37">
        <f>J48</f>
        <v/>
      </c>
      <c r="K56" s="37">
        <f>K48</f>
        <v/>
      </c>
      <c r="L56" s="37">
        <f>L48</f>
        <v/>
      </c>
    </row>
    <row r="57" ht="15" customHeight="1">
      <c r="A57" s="49" t="inlineStr">
        <is>
          <t>TOTAL REVENUE POOL ($M)</t>
        </is>
      </c>
      <c r="C57" s="50">
        <f>SUM(C51:C56)</f>
        <v/>
      </c>
      <c r="D57" s="50">
        <f>SUM(D51:D56)</f>
        <v/>
      </c>
      <c r="E57" s="50">
        <f>SUM(E51:E56)</f>
        <v/>
      </c>
      <c r="F57" s="50">
        <f>SUM(F51:F56)</f>
        <v/>
      </c>
      <c r="G57" s="50">
        <f>SUM(G51:G56)</f>
        <v/>
      </c>
      <c r="H57" s="50">
        <f>SUM(H51:H56)</f>
        <v/>
      </c>
      <c r="I57" s="50">
        <f>SUM(I51:I56)</f>
        <v/>
      </c>
      <c r="J57" s="50">
        <f>SUM(J51:J56)</f>
        <v/>
      </c>
      <c r="K57" s="50">
        <f>SUM(K51:K56)</f>
        <v/>
      </c>
      <c r="L57" s="50">
        <f>SUM(L51:L56)</f>
        <v/>
      </c>
    </row>
    <row r="58" ht="15" customHeight="1">
      <c r="A58" s="11" t="inlineStr">
        <is>
          <t>Total revenue pool ($Bn)</t>
        </is>
      </c>
      <c r="C58" s="19">
        <f>C57/1000</f>
        <v/>
      </c>
      <c r="D58" s="19">
        <f>D57/1000</f>
        <v/>
      </c>
      <c r="E58" s="19">
        <f>E57/1000</f>
        <v/>
      </c>
      <c r="F58" s="19">
        <f>F57/1000</f>
        <v/>
      </c>
      <c r="G58" s="19">
        <f>G57/1000</f>
        <v/>
      </c>
      <c r="H58" s="19">
        <f>H57/1000</f>
        <v/>
      </c>
      <c r="I58" s="19">
        <f>I57/1000</f>
        <v/>
      </c>
      <c r="J58" s="19">
        <f>J57/1000</f>
        <v/>
      </c>
      <c r="K58" s="19">
        <f>K57/1000</f>
        <v/>
      </c>
      <c r="L58" s="19">
        <f>L57/1000</f>
        <v/>
      </c>
    </row>
    <row r="60" ht="15" customHeight="1">
      <c r="A60" s="51" t="inlineStr">
        <is>
          <t>REVENUE MIX (% OF TOTAL)</t>
        </is>
      </c>
      <c r="B60" s="10" t="n"/>
      <c r="C60" s="10" t="n"/>
      <c r="D60" s="10" t="n"/>
      <c r="E60" s="10" t="n"/>
      <c r="F60" s="10" t="n"/>
      <c r="G60" s="10" t="n"/>
      <c r="H60" s="10" t="n"/>
      <c r="I60" s="10" t="n"/>
      <c r="J60" s="10" t="n"/>
      <c r="K60" s="10" t="n"/>
      <c r="L60" s="10" t="n"/>
      <c r="M60" s="10" t="n"/>
    </row>
    <row r="61" ht="15" customHeight="1">
      <c r="A61" s="11" t="inlineStr">
        <is>
          <t>Trading</t>
        </is>
      </c>
      <c r="C61" s="20">
        <f>IF(C57=0,0,C51/C57)</f>
        <v/>
      </c>
      <c r="D61" s="20">
        <f>IF(D57=0,0,D51/D57)</f>
        <v/>
      </c>
      <c r="E61" s="20">
        <f>IF(E57=0,0,E51/E57)</f>
        <v/>
      </c>
      <c r="F61" s="20">
        <f>IF(F57=0,0,F51/F57)</f>
        <v/>
      </c>
      <c r="G61" s="20">
        <f>IF(G57=0,0,G51/G57)</f>
        <v/>
      </c>
      <c r="H61" s="20">
        <f>IF(H57=0,0,H51/H57)</f>
        <v/>
      </c>
      <c r="I61" s="20">
        <f>IF(I57=0,0,I51/I57)</f>
        <v/>
      </c>
      <c r="J61" s="20">
        <f>IF(J57=0,0,J51/J57)</f>
        <v/>
      </c>
      <c r="K61" s="20">
        <f>IF(K57=0,0,K51/K57)</f>
        <v/>
      </c>
      <c r="L61" s="20">
        <f>IF(L57=0,0,L51/L57)</f>
        <v/>
      </c>
    </row>
    <row r="62" ht="15" customHeight="1">
      <c r="A62" s="11" t="inlineStr">
        <is>
          <t>Margin &amp; sec lending</t>
        </is>
      </c>
      <c r="C62" s="20">
        <f>IF(C57=0,0,C52/C57)</f>
        <v/>
      </c>
      <c r="D62" s="20">
        <f>IF(D57=0,0,D52/D57)</f>
        <v/>
      </c>
      <c r="E62" s="20">
        <f>IF(E57=0,0,E52/E57)</f>
        <v/>
      </c>
      <c r="F62" s="20">
        <f>IF(F57=0,0,F52/F57)</f>
        <v/>
      </c>
      <c r="G62" s="20">
        <f>IF(G57=0,0,G52/G57)</f>
        <v/>
      </c>
      <c r="H62" s="20">
        <f>IF(H57=0,0,H52/H57)</f>
        <v/>
      </c>
      <c r="I62" s="20">
        <f>IF(I57=0,0,I52/I57)</f>
        <v/>
      </c>
      <c r="J62" s="20">
        <f>IF(J57=0,0,J52/J57)</f>
        <v/>
      </c>
      <c r="K62" s="20">
        <f>IF(K57=0,0,K52/K57)</f>
        <v/>
      </c>
      <c r="L62" s="20">
        <f>IF(L57=0,0,L52/L57)</f>
        <v/>
      </c>
    </row>
    <row r="63" ht="15" customHeight="1">
      <c r="A63" s="11" t="inlineStr">
        <is>
          <t>Prime &amp; custody</t>
        </is>
      </c>
      <c r="C63" s="20">
        <f>IF(C57=0,0,C53/C57)</f>
        <v/>
      </c>
      <c r="D63" s="20">
        <f>IF(D57=0,0,D53/D57)</f>
        <v/>
      </c>
      <c r="E63" s="20">
        <f>IF(E57=0,0,E53/E57)</f>
        <v/>
      </c>
      <c r="F63" s="20">
        <f>IF(F57=0,0,F53/F57)</f>
        <v/>
      </c>
      <c r="G63" s="20">
        <f>IF(G57=0,0,G53/G57)</f>
        <v/>
      </c>
      <c r="H63" s="20">
        <f>IF(H57=0,0,H53/H57)</f>
        <v/>
      </c>
      <c r="I63" s="20">
        <f>IF(I57=0,0,I53/I57)</f>
        <v/>
      </c>
      <c r="J63" s="20">
        <f>IF(J57=0,0,J53/J57)</f>
        <v/>
      </c>
      <c r="K63" s="20">
        <f>IF(K57=0,0,K53/K57)</f>
        <v/>
      </c>
      <c r="L63" s="20">
        <f>IF(L57=0,0,L53/L57)</f>
        <v/>
      </c>
    </row>
    <row r="64" ht="15" customHeight="1">
      <c r="A64" s="11" t="inlineStr">
        <is>
          <t>Issuance + TA</t>
        </is>
      </c>
      <c r="C64" s="20">
        <f>IF(C57=0,0,C54/C57)</f>
        <v/>
      </c>
      <c r="D64" s="20">
        <f>IF(D57=0,0,D54/D57)</f>
        <v/>
      </c>
      <c r="E64" s="20">
        <f>IF(E57=0,0,E54/E57)</f>
        <v/>
      </c>
      <c r="F64" s="20">
        <f>IF(F57=0,0,F54/F57)</f>
        <v/>
      </c>
      <c r="G64" s="20">
        <f>IF(G57=0,0,G54/G57)</f>
        <v/>
      </c>
      <c r="H64" s="20">
        <f>IF(H57=0,0,H54/H57)</f>
        <v/>
      </c>
      <c r="I64" s="20">
        <f>IF(I57=0,0,I54/I57)</f>
        <v/>
      </c>
      <c r="J64" s="20">
        <f>IF(J57=0,0,J54/J57)</f>
        <v/>
      </c>
      <c r="K64" s="20">
        <f>IF(K57=0,0,K54/K57)</f>
        <v/>
      </c>
      <c r="L64" s="20">
        <f>IF(L57=0,0,L54/L57)</f>
        <v/>
      </c>
    </row>
    <row r="65" ht="15" customHeight="1">
      <c r="A65" s="11" t="inlineStr">
        <is>
          <t>Market data</t>
        </is>
      </c>
      <c r="C65" s="20">
        <f>IF(C57=0,0,C55/C57)</f>
        <v/>
      </c>
      <c r="D65" s="20">
        <f>IF(D57=0,0,D55/D57)</f>
        <v/>
      </c>
      <c r="E65" s="20">
        <f>IF(E57=0,0,E55/E57)</f>
        <v/>
      </c>
      <c r="F65" s="20">
        <f>IF(F57=0,0,F55/F57)</f>
        <v/>
      </c>
      <c r="G65" s="20">
        <f>IF(G57=0,0,G55/G57)</f>
        <v/>
      </c>
      <c r="H65" s="20">
        <f>IF(H57=0,0,H55/H57)</f>
        <v/>
      </c>
      <c r="I65" s="20">
        <f>IF(I57=0,0,I55/I57)</f>
        <v/>
      </c>
      <c r="J65" s="20">
        <f>IF(J57=0,0,J55/J57)</f>
        <v/>
      </c>
      <c r="K65" s="20">
        <f>IF(K57=0,0,K55/K57)</f>
        <v/>
      </c>
      <c r="L65" s="20">
        <f>IF(L57=0,0,L55/L57)</f>
        <v/>
      </c>
    </row>
    <row r="66" ht="15" customHeight="1">
      <c r="A66" s="11" t="inlineStr">
        <is>
          <t>Settlement &amp; clearing</t>
        </is>
      </c>
      <c r="C66" s="20">
        <f>IF(C57=0,0,C56/C57)</f>
        <v/>
      </c>
      <c r="D66" s="20">
        <f>IF(D57=0,0,D56/D57)</f>
        <v/>
      </c>
      <c r="E66" s="20">
        <f>IF(E57=0,0,E56/E57)</f>
        <v/>
      </c>
      <c r="F66" s="20">
        <f>IF(F57=0,0,F56/F57)</f>
        <v/>
      </c>
      <c r="G66" s="20">
        <f>IF(G57=0,0,G56/G57)</f>
        <v/>
      </c>
      <c r="H66" s="20">
        <f>IF(H57=0,0,H56/H57)</f>
        <v/>
      </c>
      <c r="I66" s="20">
        <f>IF(I57=0,0,I56/I57)</f>
        <v/>
      </c>
      <c r="J66" s="20">
        <f>IF(J57=0,0,J56/J57)</f>
        <v/>
      </c>
      <c r="K66" s="20">
        <f>IF(K57=0,0,K56/K57)</f>
        <v/>
      </c>
      <c r="L66" s="20">
        <f>IF(L57=0,0,L56/L57)</f>
        <v/>
      </c>
    </row>
    <row r="67" ht="15" customHeight="1">
      <c r="A67" s="52" t="inlineStr">
        <is>
          <t>Check (should = 100%)</t>
        </is>
      </c>
      <c r="C67" s="53">
        <f>SUM(C61:C66)</f>
        <v/>
      </c>
      <c r="D67" s="53">
        <f>SUM(D61:D66)</f>
        <v/>
      </c>
      <c r="E67" s="53">
        <f>SUM(E61:E66)</f>
        <v/>
      </c>
      <c r="F67" s="53">
        <f>SUM(F61:F66)</f>
        <v/>
      </c>
      <c r="G67" s="53">
        <f>SUM(G61:G66)</f>
        <v/>
      </c>
      <c r="H67" s="53">
        <f>SUM(H61:H66)</f>
        <v/>
      </c>
      <c r="I67" s="53">
        <f>SUM(I61:I66)</f>
        <v/>
      </c>
      <c r="J67" s="53">
        <f>SUM(J61:J66)</f>
        <v/>
      </c>
      <c r="K67" s="53">
        <f>SUM(K61:K66)</f>
        <v/>
      </c>
      <c r="L67" s="53">
        <f>SUM(L61:L66)</f>
        <v/>
      </c>
    </row>
    <row r="69" ht="15" customHeight="1">
      <c r="A69" s="51" t="inlineStr">
        <is>
          <t>REVENUE YIELD (BPS ON TOKENIZED MKT CAP)</t>
        </is>
      </c>
      <c r="B69" s="10" t="n"/>
      <c r="C69" s="10" t="n"/>
      <c r="D69" s="10" t="n"/>
      <c r="E69" s="10" t="n"/>
      <c r="F69" s="10" t="n"/>
      <c r="G69" s="10" t="n"/>
      <c r="H69" s="10" t="n"/>
      <c r="I69" s="10" t="n"/>
      <c r="J69" s="10" t="n"/>
      <c r="K69" s="10" t="n"/>
      <c r="L69" s="10" t="n"/>
      <c r="M69" s="10" t="n"/>
    </row>
    <row r="70" ht="15" customHeight="1">
      <c r="A70" s="11" t="inlineStr">
        <is>
          <t>Trading</t>
        </is>
      </c>
      <c r="C70" s="54">
        <f>IF(C7=0,0,C51/C7*10000)</f>
        <v/>
      </c>
      <c r="D70" s="54">
        <f>IF(D7=0,0,D51/D7*10000)</f>
        <v/>
      </c>
      <c r="E70" s="54">
        <f>IF(E7=0,0,E51/E7*10000)</f>
        <v/>
      </c>
      <c r="F70" s="54">
        <f>IF(F7=0,0,F51/F7*10000)</f>
        <v/>
      </c>
      <c r="G70" s="54">
        <f>IF(G7=0,0,G51/G7*10000)</f>
        <v/>
      </c>
      <c r="H70" s="54">
        <f>IF(H7=0,0,H51/H7*10000)</f>
        <v/>
      </c>
      <c r="I70" s="54">
        <f>IF(I7=0,0,I51/I7*10000)</f>
        <v/>
      </c>
      <c r="J70" s="54">
        <f>IF(J7=0,0,J51/J7*10000)</f>
        <v/>
      </c>
      <c r="K70" s="54">
        <f>IF(K7=0,0,K51/K7*10000)</f>
        <v/>
      </c>
      <c r="L70" s="54">
        <f>IF(L7=0,0,L51/L7*10000)</f>
        <v/>
      </c>
    </row>
    <row r="71" ht="15" customHeight="1">
      <c r="A71" s="11" t="inlineStr">
        <is>
          <t>Margin &amp; sec lending</t>
        </is>
      </c>
      <c r="C71" s="54">
        <f>IF(C7=0,0,C52/C7*10000)</f>
        <v/>
      </c>
      <c r="D71" s="54">
        <f>IF(D7=0,0,D52/D7*10000)</f>
        <v/>
      </c>
      <c r="E71" s="54">
        <f>IF(E7=0,0,E52/E7*10000)</f>
        <v/>
      </c>
      <c r="F71" s="54">
        <f>IF(F7=0,0,F52/F7*10000)</f>
        <v/>
      </c>
      <c r="G71" s="54">
        <f>IF(G7=0,0,G52/G7*10000)</f>
        <v/>
      </c>
      <c r="H71" s="54">
        <f>IF(H7=0,0,H52/H7*10000)</f>
        <v/>
      </c>
      <c r="I71" s="54">
        <f>IF(I7=0,0,I52/I7*10000)</f>
        <v/>
      </c>
      <c r="J71" s="54">
        <f>IF(J7=0,0,J52/J7*10000)</f>
        <v/>
      </c>
      <c r="K71" s="54">
        <f>IF(K7=0,0,K52/K7*10000)</f>
        <v/>
      </c>
      <c r="L71" s="54">
        <f>IF(L7=0,0,L52/L7*10000)</f>
        <v/>
      </c>
    </row>
    <row r="72" ht="15" customHeight="1">
      <c r="A72" s="11" t="inlineStr">
        <is>
          <t>Prime &amp; custody</t>
        </is>
      </c>
      <c r="C72" s="54">
        <f>IF(C7=0,0,C53/C7*10000)</f>
        <v/>
      </c>
      <c r="D72" s="54">
        <f>IF(D7=0,0,D53/D7*10000)</f>
        <v/>
      </c>
      <c r="E72" s="54">
        <f>IF(E7=0,0,E53/E7*10000)</f>
        <v/>
      </c>
      <c r="F72" s="54">
        <f>IF(F7=0,0,F53/F7*10000)</f>
        <v/>
      </c>
      <c r="G72" s="54">
        <f>IF(G7=0,0,G53/G7*10000)</f>
        <v/>
      </c>
      <c r="H72" s="54">
        <f>IF(H7=0,0,H53/H7*10000)</f>
        <v/>
      </c>
      <c r="I72" s="54">
        <f>IF(I7=0,0,I53/I7*10000)</f>
        <v/>
      </c>
      <c r="J72" s="54">
        <f>IF(J7=0,0,J53/J7*10000)</f>
        <v/>
      </c>
      <c r="K72" s="54">
        <f>IF(K7=0,0,K53/K7*10000)</f>
        <v/>
      </c>
      <c r="L72" s="54">
        <f>IF(L7=0,0,L53/L7*10000)</f>
        <v/>
      </c>
    </row>
    <row r="73" ht="15" customHeight="1">
      <c r="A73" s="11" t="inlineStr">
        <is>
          <t>Issuance + TA</t>
        </is>
      </c>
      <c r="C73" s="54">
        <f>IF(C7=0,0,C54/C7*10000)</f>
        <v/>
      </c>
      <c r="D73" s="54">
        <f>IF(D7=0,0,D54/D7*10000)</f>
        <v/>
      </c>
      <c r="E73" s="54">
        <f>IF(E7=0,0,E54/E7*10000)</f>
        <v/>
      </c>
      <c r="F73" s="54">
        <f>IF(F7=0,0,F54/F7*10000)</f>
        <v/>
      </c>
      <c r="G73" s="54">
        <f>IF(G7=0,0,G54/G7*10000)</f>
        <v/>
      </c>
      <c r="H73" s="54">
        <f>IF(H7=0,0,H54/H7*10000)</f>
        <v/>
      </c>
      <c r="I73" s="54">
        <f>IF(I7=0,0,I54/I7*10000)</f>
        <v/>
      </c>
      <c r="J73" s="54">
        <f>IF(J7=0,0,J54/J7*10000)</f>
        <v/>
      </c>
      <c r="K73" s="54">
        <f>IF(K7=0,0,K54/K7*10000)</f>
        <v/>
      </c>
      <c r="L73" s="54">
        <f>IF(L7=0,0,L54/L7*10000)</f>
        <v/>
      </c>
    </row>
    <row r="74" ht="15" customHeight="1">
      <c r="A74" s="11" t="inlineStr">
        <is>
          <t>Market data</t>
        </is>
      </c>
      <c r="C74" s="54">
        <f>IF(C7=0,0,C55/C7*10000)</f>
        <v/>
      </c>
      <c r="D74" s="54">
        <f>IF(D7=0,0,D55/D7*10000)</f>
        <v/>
      </c>
      <c r="E74" s="54">
        <f>IF(E7=0,0,E55/E7*10000)</f>
        <v/>
      </c>
      <c r="F74" s="54">
        <f>IF(F7=0,0,F55/F7*10000)</f>
        <v/>
      </c>
      <c r="G74" s="54">
        <f>IF(G7=0,0,G55/G7*10000)</f>
        <v/>
      </c>
      <c r="H74" s="54">
        <f>IF(H7=0,0,H55/H7*10000)</f>
        <v/>
      </c>
      <c r="I74" s="54">
        <f>IF(I7=0,0,I55/I7*10000)</f>
        <v/>
      </c>
      <c r="J74" s="54">
        <f>IF(J7=0,0,J55/J7*10000)</f>
        <v/>
      </c>
      <c r="K74" s="54">
        <f>IF(K7=0,0,K55/K7*10000)</f>
        <v/>
      </c>
      <c r="L74" s="54">
        <f>IF(L7=0,0,L55/L7*10000)</f>
        <v/>
      </c>
    </row>
    <row r="75" ht="15" customHeight="1">
      <c r="A75" s="11" t="inlineStr">
        <is>
          <t>Settlement &amp; clearing</t>
        </is>
      </c>
      <c r="C75" s="54">
        <f>IF(C7=0,0,C56/C7*10000)</f>
        <v/>
      </c>
      <c r="D75" s="54">
        <f>IF(D7=0,0,D56/D7*10000)</f>
        <v/>
      </c>
      <c r="E75" s="54">
        <f>IF(E7=0,0,E56/E7*10000)</f>
        <v/>
      </c>
      <c r="F75" s="54">
        <f>IF(F7=0,0,F56/F7*10000)</f>
        <v/>
      </c>
      <c r="G75" s="54">
        <f>IF(G7=0,0,G56/G7*10000)</f>
        <v/>
      </c>
      <c r="H75" s="54">
        <f>IF(H7=0,0,H56/H7*10000)</f>
        <v/>
      </c>
      <c r="I75" s="54">
        <f>IF(I7=0,0,I56/I7*10000)</f>
        <v/>
      </c>
      <c r="J75" s="54">
        <f>IF(J7=0,0,J56/J7*10000)</f>
        <v/>
      </c>
      <c r="K75" s="54">
        <f>IF(K7=0,0,K56/K7*10000)</f>
        <v/>
      </c>
      <c r="L75" s="54">
        <f>IF(L7=0,0,L56/L7*10000)</f>
        <v/>
      </c>
    </row>
    <row r="76" ht="15" customHeight="1">
      <c r="A76" s="22" t="inlineStr">
        <is>
          <t>Total yield (bps)</t>
        </is>
      </c>
      <c r="C76" s="55">
        <f>SUM(C70:C75)</f>
        <v/>
      </c>
      <c r="D76" s="55">
        <f>SUM(D70:D75)</f>
        <v/>
      </c>
      <c r="E76" s="55">
        <f>SUM(E70:E75)</f>
        <v/>
      </c>
      <c r="F76" s="55">
        <f>SUM(F70:F75)</f>
        <v/>
      </c>
      <c r="G76" s="55">
        <f>SUM(G70:G75)</f>
        <v/>
      </c>
      <c r="H76" s="55">
        <f>SUM(H70:H75)</f>
        <v/>
      </c>
      <c r="I76" s="55">
        <f>SUM(I70:I75)</f>
        <v/>
      </c>
      <c r="J76" s="55">
        <f>SUM(J70:J75)</f>
        <v/>
      </c>
      <c r="K76" s="55">
        <f>SUM(K70:K75)</f>
        <v/>
      </c>
      <c r="L76" s="55">
        <f>SUM(L70:L75)</f>
        <v/>
      </c>
    </row>
    <row r="78" ht="15" customHeight="1">
      <c r="A78" s="51" t="inlineStr">
        <is>
          <t>REVENUE POOL → COMPANY MAPPING</t>
        </is>
      </c>
      <c r="B78" s="10" t="n"/>
      <c r="C78" s="10" t="n"/>
      <c r="D78" s="10" t="n"/>
      <c r="E78" s="10" t="n"/>
      <c r="F78" s="10" t="n"/>
      <c r="G78" s="10" t="n"/>
      <c r="H78" s="10" t="n"/>
      <c r="I78" s="10" t="n"/>
      <c r="J78" s="10" t="n"/>
      <c r="K78" s="10" t="n"/>
      <c r="L78" s="10" t="n"/>
      <c r="M78" s="10" t="n"/>
    </row>
    <row r="79" ht="15" customHeight="1">
      <c r="A79" s="11" t="inlineStr">
        <is>
          <t>Trading</t>
        </is>
      </c>
      <c r="C79" s="11" t="inlineStr">
        <is>
          <t>COIN, FIGR (OPEN network), Bullish, Robinhood (HOOD), NYSE/ICE, NASDAQ</t>
        </is>
      </c>
    </row>
    <row r="80" ht="15" customHeight="1">
      <c r="A80" s="11" t="inlineStr">
        <is>
          <t>Margin &amp; sec lending</t>
        </is>
      </c>
      <c r="C80" s="11" t="inlineStr">
        <is>
          <t>COIN Prime, FIGR, Galaxy Digital, Anchorage, Fireblocks</t>
        </is>
      </c>
    </row>
    <row r="81" ht="15" customHeight="1">
      <c r="A81" s="11" t="inlineStr">
        <is>
          <t>Prime brokerage &amp; custody</t>
        </is>
      </c>
      <c r="C81" s="11" t="inlineStr">
        <is>
          <t>COIN Custody, Anchorage, Fireblocks, BitGo, BNY Mellon, State Street</t>
        </is>
      </c>
    </row>
    <row r="82" ht="15" customHeight="1">
      <c r="A82" s="11" t="inlineStr">
        <is>
          <t>Issuance + TA fees</t>
        </is>
      </c>
      <c r="C82" s="11" t="inlineStr">
        <is>
          <t>FIGR (Securitize on OPEN), Securitize, DTCC, Computershare, AST Financial</t>
        </is>
      </c>
    </row>
    <row r="83" ht="15" customHeight="1">
      <c r="A83" s="11" t="inlineStr">
        <is>
          <t>Market data &amp; index licensing</t>
        </is>
      </c>
      <c r="C83" s="11" t="inlineStr">
        <is>
          <t>CRCL (on-chain data layer), Kaiko, Pyth, Chainlink, ICE, NASDAQ</t>
        </is>
      </c>
    </row>
    <row r="84" ht="15" customHeight="1">
      <c r="A84" s="11" t="inlineStr">
        <is>
          <t>Settlement &amp; clearing</t>
        </is>
      </c>
      <c r="C84" s="11" t="inlineStr">
        <is>
          <t>CRCL (USDC settlement), FIGR (OPEN), DTCC, Paxos, Fireblocks</t>
        </is>
      </c>
    </row>
    <row r="86" ht="15" customHeight="1">
      <c r="A86" s="56" t="inlineStr">
        <is>
          <t>SOURCE INDEX</t>
        </is>
      </c>
      <c r="B86" s="57" t="n"/>
      <c r="C86" s="57" t="n"/>
      <c r="D86" s="57" t="n"/>
      <c r="E86" s="57" t="n"/>
      <c r="F86" s="57" t="n"/>
      <c r="G86" s="57" t="n"/>
      <c r="H86" s="57" t="n"/>
      <c r="I86" s="57" t="n"/>
      <c r="J86" s="57" t="n"/>
      <c r="K86" s="57" t="n"/>
      <c r="L86" s="57" t="n"/>
      <c r="M86" s="57" t="n"/>
    </row>
    <row r="87" ht="15" customHeight="1">
      <c r="A87" s="58" t="inlineStr">
        <is>
          <t>Trading vol &amp; turnover</t>
        </is>
      </c>
      <c r="B87" s="11" t="n"/>
      <c r="C87" s="13" t="inlineStr">
        <is>
          <t>SIFMA 2025 Fact Book, Table 7.3</t>
        </is>
      </c>
      <c r="H87" s="14" t="inlineStr">
        <is>
          <t>https://www.sifma.org/research/statistics/fact-book</t>
        </is>
      </c>
    </row>
    <row r="88" ht="15" customHeight="1">
      <c r="A88" s="58" t="inlineStr">
        <is>
          <t>Exchange fee benchmarks</t>
        </is>
      </c>
      <c r="B88" s="11" t="n"/>
      <c r="C88" s="13" t="inlineStr">
        <is>
          <t>Cboe 2025 US Equities Year in Review (net capture data)</t>
        </is>
      </c>
      <c r="H88" s="14" t="inlineStr">
        <is>
          <t>https://www.cboe.com/insights/posts/2025-u-s-equities-year-in-review/</t>
        </is>
      </c>
    </row>
    <row r="89" ht="15" customHeight="1">
      <c r="A89" s="58" t="inlineStr">
        <is>
          <t>NSCC clearing fee</t>
        </is>
      </c>
      <c r="B89" s="11" t="n"/>
      <c r="C89" s="13" t="inlineStr">
        <is>
          <t>SR-NSCC-2025-017: fee cut from $0.46 to $0.44 per million of processed value, effective 01-Jan-2026</t>
        </is>
      </c>
      <c r="H89" s="14" t="inlineStr">
        <is>
          <t>https://www.sec.gov/files/rules/sro/nscc/2025/34-104376.pdf</t>
        </is>
      </c>
      <c r="N89" t="inlineStr">
        <is>
          <t>https://www.federalregister.gov/documents/2025/12/17/2025-23068/self-regulatory-organizations-national-securities-clearing-corporation-notice-of-filing-and</t>
        </is>
      </c>
    </row>
    <row r="90" ht="15" customHeight="1">
      <c r="A90" s="58" t="inlineStr">
        <is>
          <t>NSCC fee schedule guide</t>
        </is>
      </c>
      <c r="B90" s="11" t="n"/>
      <c r="C90" s="13" t="inlineStr">
        <is>
          <t>DTCC fee guide PDF (full schedule)</t>
        </is>
      </c>
      <c r="H90" s="14" t="inlineStr">
        <is>
          <t>https://www.dtcc.com/~/media/Files/Downloads/legal/fee-guides/nsccfeeguide.pdf</t>
        </is>
      </c>
    </row>
    <row r="91" ht="15" customHeight="1">
      <c r="A91" s="58" t="inlineStr">
        <is>
          <t>Securities lending rates</t>
        </is>
      </c>
      <c r="B91" s="11" t="n"/>
      <c r="C91" s="13" t="inlineStr">
        <is>
          <t>S&amp;P Global Market Intelligence Securities Finance</t>
        </is>
      </c>
      <c r="H91" s="14" t="inlineStr">
        <is>
          <t>https://www.spglobal.com/marketintelligence/en/campaigns/securities-finance</t>
        </is>
      </c>
    </row>
    <row r="92" ht="15" customHeight="1">
      <c r="A92" s="58" t="inlineStr">
        <is>
          <t>Custody fee benchmarks</t>
        </is>
      </c>
      <c r="B92" s="11" t="n"/>
      <c r="C92" s="13" t="inlineStr">
        <is>
          <t>Coinbase (COIN) 2025 10-K — custody revenue vs AUC</t>
        </is>
      </c>
      <c r="H92" s="14" t="inlineStr">
        <is>
          <t>https://www.sec.gov/cgi-bin/browse-edgar?action=getcompany&amp;CIK=COIN&amp;type=10-K&amp;dateb=&amp;owner=include&amp;count=5&amp;search_text=&amp;action=getcompany</t>
        </is>
      </c>
    </row>
    <row r="93" ht="15" customHeight="1">
      <c r="A93" s="58" t="inlineStr">
        <is>
          <t>Market data revenue share</t>
        </is>
      </c>
      <c r="B93" s="11" t="n"/>
      <c r="C93" s="13" t="inlineStr">
        <is>
          <t>ICE 2025 10-K — Data Services segment % of total rev</t>
        </is>
      </c>
      <c r="H93" s="14" t="inlineStr">
        <is>
          <t>https://www.sec.gov/cgi-bin/browse-edgar?action=getcompany&amp;company=intercontinental+exchange&amp;CIK=&amp;type=10-K&amp;dateb=&amp;owner=include&amp;count=5&amp;search_text=&amp;action=getcompany</t>
        </is>
      </c>
    </row>
    <row r="94" ht="15" customHeight="1">
      <c r="A94" s="58" t="inlineStr">
        <is>
          <t>IPO / issuance fees</t>
        </is>
      </c>
      <c r="B94" s="11" t="n"/>
      <c r="C94" s="13" t="inlineStr">
        <is>
          <t>SIFMA 2025 Fact Book, Table 6.5 (equity issuance)</t>
        </is>
      </c>
      <c r="H94" s="14" t="inlineStr">
        <is>
          <t>https://www.sifma.org/research/statistics/fact-book</t>
        </is>
      </c>
    </row>
    <row r="95" ht="15" customHeight="1">
      <c r="A95" s="58" t="inlineStr">
        <is>
          <t>US mkt cap &amp; listed cos</t>
        </is>
      </c>
      <c r="C95" s="13" t="inlineStr">
        <is>
          <t>SIFMA Research Quarterly: Equity, Q1 2026</t>
        </is>
      </c>
      <c r="H95" s="14" t="inlineStr">
        <is>
          <t>https://www.sifma.org/research/statistics/research-quarterly-equity-and-related</t>
        </is>
      </c>
    </row>
    <row r="96" ht="15" customHeight="1">
      <c r="A96" s="58" t="inlineStr">
        <is>
          <t>DTCC tokenization authority</t>
        </is>
      </c>
      <c r="C96" s="13" t="inlineStr">
        <is>
          <t>DTCC: SEC no-action letter 11-Dec-2025 authorising tokenization of DTC-custodied assets</t>
        </is>
      </c>
      <c r="G96" t="inlineStr">
        <is>
          <t>https://www.dtcc.com/news/2025/december/11/paving-the-way-to-tokenized-dtc-custodied-assets</t>
        </is>
      </c>
      <c r="H96" s="14" t="inlineStr">
        <is>
          <t>https://en.wikipedia.org/wiki/Depository_Trust_%26_Clearing_Corporation</t>
        </is>
      </c>
    </row>
    <row r="98" ht="15" customHeight="1">
      <c r="A98" s="59" t="inlineStr">
        <is>
          <t>Verification notes</t>
        </is>
      </c>
      <c r="C98" s="25" t="inlineStr">
        <is>
          <t>TA pricing (Computershare/AST): no public schedule — verify via terminal or IR. Agent lender split: estimated from State Street/BNY sec lending program disclosures in 10-Ks. CLARITY Act bill number: pending final enrolled text on Congress.gov. NYSE/Securitize partnership: no stable archived PR URL.</t>
        </is>
      </c>
    </row>
  </sheetData>
  <mergeCells count="25">
    <mergeCell ref="C92:G92"/>
    <mergeCell ref="H89:M89"/>
    <mergeCell ref="H94:M94"/>
    <mergeCell ref="H88:M88"/>
    <mergeCell ref="C82:L82"/>
    <mergeCell ref="C81:L81"/>
    <mergeCell ref="C98:M98"/>
    <mergeCell ref="C88:G88"/>
    <mergeCell ref="H90:M90"/>
    <mergeCell ref="C94:G94"/>
    <mergeCell ref="C83:L83"/>
    <mergeCell ref="C93:G93"/>
    <mergeCell ref="H87:M87"/>
    <mergeCell ref="H96:M96"/>
    <mergeCell ref="C90:G90"/>
    <mergeCell ref="H95:M95"/>
    <mergeCell ref="C79:L79"/>
    <mergeCell ref="C95:G95"/>
    <mergeCell ref="H92:M92"/>
    <mergeCell ref="H91:M91"/>
    <mergeCell ref="C91:G91"/>
    <mergeCell ref="C80:L80"/>
    <mergeCell ref="C84:L84"/>
    <mergeCell ref="H93:M93"/>
    <mergeCell ref="C87:G87"/>
  </mergeCells>
  <hyperlinks>
    <hyperlink xmlns:r="http://schemas.openxmlformats.org/officeDocument/2006/relationships" ref="N10" r:id="rId1"/>
    <hyperlink xmlns:r="http://schemas.openxmlformats.org/officeDocument/2006/relationships" ref="N12" r:id="rId2"/>
    <hyperlink xmlns:r="http://schemas.openxmlformats.org/officeDocument/2006/relationships" ref="N16" r:id="rId3"/>
    <hyperlink xmlns:r="http://schemas.openxmlformats.org/officeDocument/2006/relationships" ref="N18" r:id="rId4"/>
    <hyperlink xmlns:r="http://schemas.openxmlformats.org/officeDocument/2006/relationships" ref="N20" r:id="rId5"/>
    <hyperlink xmlns:r="http://schemas.openxmlformats.org/officeDocument/2006/relationships" ref="N26" r:id="rId6"/>
    <hyperlink xmlns:r="http://schemas.openxmlformats.org/officeDocument/2006/relationships" ref="N28" r:id="rId7"/>
    <hyperlink xmlns:r="http://schemas.openxmlformats.org/officeDocument/2006/relationships" ref="N33" r:id="rId8"/>
    <hyperlink xmlns:r="http://schemas.openxmlformats.org/officeDocument/2006/relationships" ref="N41" r:id="rId9"/>
    <hyperlink xmlns:r="http://schemas.openxmlformats.org/officeDocument/2006/relationships" ref="N46" r:id="rId10"/>
    <hyperlink xmlns:r="http://schemas.openxmlformats.org/officeDocument/2006/relationships" ref="N47" r:id="rId11"/>
    <hyperlink xmlns:r="http://schemas.openxmlformats.org/officeDocument/2006/relationships" ref="H87" r:id="rId12"/>
    <hyperlink xmlns:r="http://schemas.openxmlformats.org/officeDocument/2006/relationships" ref="H88" r:id="rId13"/>
    <hyperlink xmlns:r="http://schemas.openxmlformats.org/officeDocument/2006/relationships" ref="H89" r:id="rId14"/>
    <hyperlink xmlns:r="http://schemas.openxmlformats.org/officeDocument/2006/relationships" ref="H90" r:id="rId15"/>
    <hyperlink xmlns:r="http://schemas.openxmlformats.org/officeDocument/2006/relationships" ref="H91" r:id="rId16"/>
    <hyperlink xmlns:r="http://schemas.openxmlformats.org/officeDocument/2006/relationships" ref="H92" r:id="rId17"/>
    <hyperlink xmlns:r="http://schemas.openxmlformats.org/officeDocument/2006/relationships" ref="H93" r:id="rId18"/>
    <hyperlink xmlns:r="http://schemas.openxmlformats.org/officeDocument/2006/relationships" ref="H94" r:id="rId19"/>
    <hyperlink xmlns:r="http://schemas.openxmlformats.org/officeDocument/2006/relationships" ref="H95" r:id="rId20"/>
    <hyperlink xmlns:r="http://schemas.openxmlformats.org/officeDocument/2006/relationships" ref="H96" r:id="rId21"/>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70AD47"/>
    <outlinePr summaryBelow="1" summaryRight="1"/>
    <pageSetUpPr/>
  </sheetPr>
  <dimension ref="A1:I21"/>
  <sheetViews>
    <sheetView zoomScaleNormal="100" workbookViewId="0">
      <selection activeCell="A1" sqref="A1"/>
    </sheetView>
  </sheetViews>
  <sheetFormatPr baseColWidth="8" defaultColWidth="8.6328125" defaultRowHeight="14.5"/>
  <cols>
    <col width="38" customWidth="1" min="1" max="1"/>
    <col width="18" customWidth="1" min="2" max="5"/>
    <col width="55" customWidth="1" min="6" max="6"/>
    <col width="12" customWidth="1" min="7" max="7"/>
    <col width="9" customWidth="1" min="8" max="8"/>
    <col width="88" customWidth="1" min="9" max="9"/>
  </cols>
  <sheetData>
    <row r="1" ht="15.75" customHeight="1">
      <c r="A1" s="60" t="inlineStr">
        <is>
          <t>Scenario Sensitivity: Terminal Year (2035) Tokenized Market Cap</t>
        </is>
      </c>
    </row>
    <row r="3" ht="15" customHeight="1">
      <c r="A3" s="9" t="inlineStr">
        <is>
          <t>Terminal penetration rate assumptions</t>
        </is>
      </c>
      <c r="B3" s="10" t="n"/>
      <c r="C3" s="10" t="n"/>
      <c r="D3" s="10" t="n"/>
      <c r="E3" s="10" t="n"/>
    </row>
    <row r="4" ht="15" customHeight="1">
      <c r="A4" s="16" t="n"/>
      <c r="B4" s="16" t="inlineStr">
        <is>
          <t>Bear</t>
        </is>
      </c>
      <c r="C4" s="16" t="inlineStr">
        <is>
          <t>Base</t>
        </is>
      </c>
      <c r="D4" s="16" t="inlineStr">
        <is>
          <t>Bull</t>
        </is>
      </c>
      <c r="G4" s="75" t="inlineStr">
        <is>
          <t>Status</t>
        </is>
      </c>
      <c r="H4" s="75" t="inlineStr">
        <is>
          <t>Src ID</t>
        </is>
      </c>
      <c r="I4" s="75" t="inlineStr">
        <is>
          <t>Basis / what to search in the source</t>
        </is>
      </c>
    </row>
    <row r="5" ht="15" customHeight="1">
      <c r="A5" s="11" t="inlineStr">
        <is>
          <t>Low ADV terminal penetration</t>
        </is>
      </c>
      <c r="B5" s="24" t="n">
        <v>0.08</v>
      </c>
      <c r="C5" s="24" t="n">
        <v>0.2</v>
      </c>
      <c r="D5" s="24" t="n">
        <v>0.35</v>
      </c>
      <c r="F5" s="13" t="inlineStr">
        <is>
          <t>Source: Bernstein scenario analysis</t>
        </is>
      </c>
      <c r="G5" s="80" t="inlineStr">
        <is>
          <t>FORECAST</t>
        </is>
      </c>
      <c r="H5" s="74" t="inlineStr">
        <is>
          <t>SX</t>
        </is>
      </c>
      <c r="I5" s="77" t="inlineStr">
        <is>
          <t>Terminal penetration, low ADV. Scenario judgement</t>
        </is>
      </c>
    </row>
    <row r="6" ht="15" customHeight="1">
      <c r="A6" s="11" t="inlineStr">
        <is>
          <t>Mid ADV terminal penetration</t>
        </is>
      </c>
      <c r="B6" s="24" t="n">
        <v>0.04</v>
      </c>
      <c r="C6" s="24" t="n">
        <v>0.12</v>
      </c>
      <c r="D6" s="24" t="n">
        <v>0.25</v>
      </c>
      <c r="G6" s="80" t="inlineStr">
        <is>
          <t>FORECAST</t>
        </is>
      </c>
      <c r="H6" s="74" t="inlineStr">
        <is>
          <t>SX</t>
        </is>
      </c>
      <c r="I6" s="77" t="inlineStr">
        <is>
          <t>Terminal penetration, mid ADV. Scenario judgement</t>
        </is>
      </c>
    </row>
    <row r="7" ht="15" customHeight="1">
      <c r="A7" s="11" t="inlineStr">
        <is>
          <t>High ADV terminal penetration</t>
        </is>
      </c>
      <c r="B7" s="24" t="n">
        <v>0.01</v>
      </c>
      <c r="C7" s="24" t="n">
        <v>0.05</v>
      </c>
      <c r="D7" s="24" t="n">
        <v>0.12</v>
      </c>
      <c r="G7" s="80" t="inlineStr">
        <is>
          <t>FORECAST</t>
        </is>
      </c>
      <c r="H7" s="74" t="inlineStr">
        <is>
          <t>SX</t>
        </is>
      </c>
      <c r="I7" s="77" t="inlineStr">
        <is>
          <t>Terminal penetration, high ADV. Scenario judgement</t>
        </is>
      </c>
    </row>
    <row r="9" ht="15" customHeight="1">
      <c r="A9" s="9" t="inlineStr">
        <is>
          <t>Terminal year (2035) segment mkt cap ($Bn)</t>
        </is>
      </c>
      <c r="B9" s="10" t="n"/>
      <c r="C9" s="10" t="n"/>
      <c r="D9" s="10" t="n"/>
      <c r="E9" s="10" t="n"/>
    </row>
    <row r="10" ht="15" customHeight="1">
      <c r="A10" s="11" t="inlineStr">
        <is>
          <t>Low ADV mkt cap ($Bn, 2035E)</t>
        </is>
      </c>
      <c r="B10" s="19">
        <f>Assumptions!B13*(1+Assumptions!B33)^9</f>
        <v/>
      </c>
    </row>
    <row r="11" ht="15" customHeight="1">
      <c r="A11" s="11" t="inlineStr">
        <is>
          <t>Mid ADV mkt cap ($Bn, 2035E)</t>
        </is>
      </c>
      <c r="B11" s="19">
        <f>Assumptions!C13*(1+Assumptions!B33)^9</f>
        <v/>
      </c>
    </row>
    <row r="12" ht="15" customHeight="1">
      <c r="A12" s="11" t="inlineStr">
        <is>
          <t>High ADV mkt cap ($Bn, 2035E)</t>
        </is>
      </c>
      <c r="B12" s="19">
        <f>Assumptions!D13*(1+Assumptions!B33)^9</f>
        <v/>
      </c>
    </row>
    <row r="14" ht="15" customHeight="1">
      <c r="A14" s="9" t="inlineStr">
        <is>
          <t>Tokenized market cap by scenario ($Bn)</t>
        </is>
      </c>
      <c r="B14" s="10" t="n"/>
      <c r="C14" s="10" t="n"/>
      <c r="D14" s="10" t="n"/>
      <c r="E14" s="10" t="n"/>
    </row>
    <row r="15" ht="15" customHeight="1">
      <c r="A15" s="16" t="n"/>
      <c r="B15" s="16" t="inlineStr">
        <is>
          <t>Bear</t>
        </is>
      </c>
      <c r="C15" s="16" t="inlineStr">
        <is>
          <t>Base</t>
        </is>
      </c>
      <c r="D15" s="16" t="inlineStr">
        <is>
          <t>Bull</t>
        </is>
      </c>
    </row>
    <row r="16" ht="15" customHeight="1">
      <c r="A16" s="11" t="inlineStr">
        <is>
          <t>Low ADV tokenized ($Bn)</t>
        </is>
      </c>
      <c r="B16" s="19">
        <f>$B$10*B5</f>
        <v/>
      </c>
      <c r="C16" s="19">
        <f>$B$10*C5</f>
        <v/>
      </c>
      <c r="D16" s="19">
        <f>$B$10*D5</f>
        <v/>
      </c>
    </row>
    <row r="17" ht="15" customHeight="1">
      <c r="A17" s="11" t="inlineStr">
        <is>
          <t>Mid ADV tokenized ($Bn)</t>
        </is>
      </c>
      <c r="B17" s="19">
        <f>$B$11*B6</f>
        <v/>
      </c>
      <c r="C17" s="19">
        <f>$B$11*C6</f>
        <v/>
      </c>
      <c r="D17" s="19">
        <f>$B$11*D6</f>
        <v/>
      </c>
    </row>
    <row r="18" ht="15" customHeight="1">
      <c r="A18" s="11" t="inlineStr">
        <is>
          <t>High ADV tokenized ($Bn)</t>
        </is>
      </c>
      <c r="B18" s="19">
        <f>$B$12*B7</f>
        <v/>
      </c>
      <c r="C18" s="19">
        <f>$B$12*C7</f>
        <v/>
      </c>
      <c r="D18" s="19">
        <f>$B$12*D7</f>
        <v/>
      </c>
    </row>
    <row r="20" ht="15" customHeight="1">
      <c r="A20" s="8" t="inlineStr">
        <is>
          <t>Total tokenized equity mkt cap ($Bn)</t>
        </is>
      </c>
      <c r="B20" s="31">
        <f>SUM(B16:B18)</f>
        <v/>
      </c>
      <c r="C20" s="31">
        <f>SUM(C16:C18)</f>
        <v/>
      </c>
      <c r="D20" s="31">
        <f>SUM(D16:D18)</f>
        <v/>
      </c>
    </row>
    <row r="21" ht="15" customHeight="1">
      <c r="A21" s="11" t="inlineStr">
        <is>
          <t>Blended penetration</t>
        </is>
      </c>
      <c r="B21" s="20">
        <f>B20/($B$10+$B$11+$B$12)</f>
        <v/>
      </c>
      <c r="C21" s="20">
        <f>C20/($B$10+$B$11+$B$12)</f>
        <v/>
      </c>
      <c r="D21" s="20">
        <f>D20/($B$10+$B$11+$B$12)</f>
        <v/>
      </c>
    </row>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sheetPr>
    <tabColor rgb="FFED7D31"/>
    <outlinePr summaryBelow="1" summaryRight="1"/>
    <pageSetUpPr/>
  </sheetPr>
  <dimension ref="A1:P69"/>
  <sheetViews>
    <sheetView zoomScaleNormal="100" workbookViewId="0">
      <pane ySplit="5" topLeftCell="A6" activePane="bottomLeft" state="frozen"/>
      <selection pane="bottomLeft" activeCell="A1" sqref="A1"/>
    </sheetView>
  </sheetViews>
  <sheetFormatPr baseColWidth="8" defaultColWidth="8.6328125" defaultRowHeight="14.5"/>
  <cols>
    <col width="8" customWidth="1" min="1" max="1"/>
    <col width="16" customWidth="1" min="2" max="3"/>
    <col width="18" customWidth="1" min="4" max="4"/>
    <col width="14" customWidth="1" min="5" max="5"/>
    <col width="5" customWidth="1" min="6" max="6"/>
    <col width="8" customWidth="1" min="7" max="7"/>
    <col width="18" customWidth="1" min="8" max="8"/>
    <col width="20" customWidth="1" min="9" max="9"/>
    <col width="18" customWidth="1" min="10" max="12"/>
    <col width="14" customWidth="1" min="13" max="13"/>
    <col width="12" customWidth="1" min="14" max="14"/>
    <col width="9" customWidth="1" min="15" max="15"/>
    <col width="88" customWidth="1" min="16" max="16"/>
  </cols>
  <sheetData>
    <row r="1" ht="17.25" customHeight="1">
      <c r="A1" s="7" t="inlineStr">
        <is>
          <t>Historical Analogues: ETF &amp; ADR Annual Growth Data</t>
        </is>
      </c>
    </row>
    <row r="2" ht="15" customHeight="1">
      <c r="A2" s="33" t="inlineStr">
        <is>
          <t>Annual data series for benchmarking tokenized equity penetration assumptions</t>
        </is>
      </c>
    </row>
    <row r="4" ht="15" customHeight="1">
      <c r="A4" s="51" t="inlineStr">
        <is>
          <t>US ETF MARKET — ANNUAL DATA (1993–2025)</t>
        </is>
      </c>
      <c r="B4" s="10" t="n"/>
      <c r="C4" s="10" t="n"/>
      <c r="D4" s="10" t="n"/>
      <c r="E4" s="10" t="n"/>
      <c r="G4" s="51" t="inlineStr">
        <is>
          <t>US ADR MARKET — ANNUAL DATA (1990–2025)</t>
        </is>
      </c>
      <c r="H4" s="10" t="n"/>
      <c r="I4" s="10" t="n"/>
      <c r="J4" s="10" t="n"/>
      <c r="K4" s="10" t="n"/>
      <c r="L4" s="10" t="n"/>
      <c r="M4" s="10" t="n"/>
    </row>
    <row r="5" ht="23.25" customHeight="1">
      <c r="A5" s="61" t="inlineStr">
        <is>
          <t>Year</t>
        </is>
      </c>
      <c r="B5" s="61" t="inlineStr">
        <is>
          <t>ETF AUM ($Bn)</t>
        </is>
      </c>
      <c r="C5" s="61" t="inlineStr">
        <is>
          <t>US Eq Mkt Cap ($Bn)</t>
        </is>
      </c>
      <c r="D5" s="61" t="inlineStr">
        <is>
          <t>ETF Penetration (%)</t>
        </is>
      </c>
      <c r="E5" s="61" t="inlineStr">
        <is>
          <t># of ETFs</t>
        </is>
      </c>
      <c r="G5" s="61" t="inlineStr">
        <is>
          <t>Year</t>
        </is>
      </c>
      <c r="H5" s="61" t="inlineStr">
        <is>
          <t>ADR Trading Val ($Bn/yr)</t>
        </is>
      </c>
      <c r="I5" s="61" t="inlineStr">
        <is>
          <t>US Eq Trading Val ($Bn/yr)</t>
        </is>
      </c>
      <c r="J5" s="61" t="inlineStr">
        <is>
          <t>ADR % of Trading</t>
        </is>
      </c>
      <c r="K5" s="61" t="inlineStr">
        <is>
          <t>ADR Mkt Cap ($Bn)</t>
        </is>
      </c>
      <c r="L5" s="61" t="inlineStr">
        <is>
          <t>US Eq Mkt Cap ($Bn)</t>
        </is>
      </c>
      <c r="M5" s="61" t="inlineStr">
        <is>
          <t>ADR % of Mkt Cap</t>
        </is>
      </c>
      <c r="N5" s="75" t="inlineStr">
        <is>
          <t>Status (ETF series)</t>
        </is>
      </c>
      <c r="O5" s="75" t="inlineStr">
        <is>
          <t>Src ID</t>
        </is>
      </c>
      <c r="P5" s="75" t="inlineStr">
        <is>
          <t>Basis / what to search in the source</t>
        </is>
      </c>
    </row>
    <row r="6" ht="15" customHeight="1">
      <c r="A6" s="23" t="n">
        <v>1993</v>
      </c>
      <c r="B6" s="44" t="n">
        <v>0.5</v>
      </c>
      <c r="C6" s="44" t="n">
        <v>5137</v>
      </c>
      <c r="D6" s="62">
        <f>B6/C6</f>
        <v/>
      </c>
      <c r="E6" s="12" t="n">
        <v>1</v>
      </c>
      <c r="G6" s="23" t="n">
        <v>1990</v>
      </c>
      <c r="H6" s="44" t="n">
        <v>75</v>
      </c>
      <c r="I6" s="44" t="n">
        <v>1325</v>
      </c>
      <c r="J6" s="20">
        <f>H6/I6</f>
        <v/>
      </c>
      <c r="K6" s="44" t="n">
        <v>120</v>
      </c>
      <c r="L6" s="44" t="n">
        <v>3060</v>
      </c>
      <c r="M6" s="20">
        <f>K6/L6</f>
        <v/>
      </c>
      <c r="N6" s="81" t="inlineStr">
        <is>
          <t>UNVERIFIED</t>
        </is>
      </c>
      <c r="O6" s="74" t="inlineStr">
        <is>
          <t>SX</t>
        </is>
      </c>
      <c r="P6" s="77" t="inlineStr">
        <is>
          <t>ETF annual series. ICI publishes ETF net assets by year - search the ICI Fact Book chapter tables. Values in this sheet are not tied to a specific table and have not been checked line by line</t>
        </is>
      </c>
    </row>
    <row r="7" ht="15" customHeight="1">
      <c r="A7" s="23" t="n">
        <v>1994</v>
      </c>
      <c r="B7" s="44" t="n">
        <v>0.4</v>
      </c>
      <c r="C7" s="44" t="n">
        <v>5068</v>
      </c>
      <c r="D7" s="62">
        <f>B7/C7</f>
        <v/>
      </c>
      <c r="E7" s="12" t="n">
        <v>1</v>
      </c>
      <c r="G7" s="23" t="n">
        <v>1991</v>
      </c>
      <c r="H7" s="44" t="n">
        <v>100</v>
      </c>
      <c r="I7" s="44" t="n">
        <v>1520</v>
      </c>
      <c r="J7" s="20">
        <f>H7/I7</f>
        <v/>
      </c>
      <c r="K7" s="44" t="n">
        <v>165</v>
      </c>
      <c r="L7" s="44" t="n">
        <v>4090</v>
      </c>
      <c r="M7" s="20">
        <f>K7/L7</f>
        <v/>
      </c>
      <c r="N7" s="81" t="inlineStr">
        <is>
          <t>UNVERIFIED</t>
        </is>
      </c>
      <c r="O7" s="74" t="inlineStr">
        <is>
          <t>SX</t>
        </is>
      </c>
      <c r="P7" s="77" t="inlineStr">
        <is>
          <t>ETF annual series. ICI publishes ETF net assets by year - search the ICI Fact Book chapter tables. Values in this sheet are not tied to a specific table and have not been checked line by line</t>
        </is>
      </c>
    </row>
    <row r="8" ht="15" customHeight="1">
      <c r="A8" s="23" t="n">
        <v>1995</v>
      </c>
      <c r="B8" s="44" t="n">
        <v>1.1</v>
      </c>
      <c r="C8" s="44" t="n">
        <v>6858</v>
      </c>
      <c r="D8" s="62">
        <f>B8/C8</f>
        <v/>
      </c>
      <c r="E8" s="12" t="n">
        <v>2</v>
      </c>
      <c r="G8" s="23" t="n">
        <v>1992</v>
      </c>
      <c r="H8" s="44" t="n">
        <v>110</v>
      </c>
      <c r="I8" s="44" t="n">
        <v>1745</v>
      </c>
      <c r="J8" s="20">
        <f>H8/I8</f>
        <v/>
      </c>
      <c r="K8" s="44" t="n">
        <v>170</v>
      </c>
      <c r="L8" s="44" t="n">
        <v>4485</v>
      </c>
      <c r="M8" s="20">
        <f>K8/L8</f>
        <v/>
      </c>
      <c r="N8" s="81" t="inlineStr">
        <is>
          <t>UNVERIFIED</t>
        </is>
      </c>
      <c r="O8" s="74" t="inlineStr">
        <is>
          <t>SX</t>
        </is>
      </c>
      <c r="P8" s="77" t="inlineStr">
        <is>
          <t>ETF annual series. ICI publishes ETF net assets by year - search the ICI Fact Book chapter tables. Values in this sheet are not tied to a specific table and have not been checked line by line</t>
        </is>
      </c>
    </row>
    <row r="9" ht="15" customHeight="1">
      <c r="A9" s="23" t="n">
        <v>1996</v>
      </c>
      <c r="B9" s="44" t="n">
        <v>2.4</v>
      </c>
      <c r="C9" s="44" t="n">
        <v>8484</v>
      </c>
      <c r="D9" s="62">
        <f>B9/C9</f>
        <v/>
      </c>
      <c r="E9" s="12" t="n">
        <v>19</v>
      </c>
      <c r="G9" s="23" t="n">
        <v>1993</v>
      </c>
      <c r="H9" s="44" t="n">
        <v>135</v>
      </c>
      <c r="I9" s="44" t="n">
        <v>2081</v>
      </c>
      <c r="J9" s="20">
        <f>H9/I9</f>
        <v/>
      </c>
      <c r="K9" s="44" t="n">
        <v>210</v>
      </c>
      <c r="L9" s="44" t="n">
        <v>5137</v>
      </c>
      <c r="M9" s="20">
        <f>K9/L9</f>
        <v/>
      </c>
      <c r="N9" s="81" t="inlineStr">
        <is>
          <t>UNVERIFIED</t>
        </is>
      </c>
      <c r="O9" s="74" t="inlineStr">
        <is>
          <t>SX</t>
        </is>
      </c>
      <c r="P9" s="77" t="inlineStr">
        <is>
          <t>ETF annual series. ICI publishes ETF net assets by year - search the ICI Fact Book chapter tables. Values in this sheet are not tied to a specific table and have not been checked line by line</t>
        </is>
      </c>
    </row>
    <row r="10" ht="15" customHeight="1">
      <c r="A10" s="23" t="n">
        <v>1997</v>
      </c>
      <c r="B10" s="44" t="n">
        <v>6.7</v>
      </c>
      <c r="C10" s="44" t="n">
        <v>10880</v>
      </c>
      <c r="D10" s="62">
        <f>B10/C10</f>
        <v/>
      </c>
      <c r="E10" s="12" t="n">
        <v>19</v>
      </c>
      <c r="G10" s="23" t="n">
        <v>1994</v>
      </c>
      <c r="H10" s="44" t="n">
        <v>140</v>
      </c>
      <c r="I10" s="44" t="n">
        <v>2454</v>
      </c>
      <c r="J10" s="20">
        <f>H10/I10</f>
        <v/>
      </c>
      <c r="K10" s="44" t="n">
        <v>200</v>
      </c>
      <c r="L10" s="44" t="n">
        <v>5068</v>
      </c>
      <c r="M10" s="20">
        <f>K10/L10</f>
        <v/>
      </c>
      <c r="N10" s="81" t="inlineStr">
        <is>
          <t>UNVERIFIED</t>
        </is>
      </c>
      <c r="O10" s="74" t="inlineStr">
        <is>
          <t>SX</t>
        </is>
      </c>
      <c r="P10" s="77" t="inlineStr">
        <is>
          <t>ETF annual series. ICI publishes ETF net assets by year - search the ICI Fact Book chapter tables. Values in this sheet are not tied to a specific table and have not been checked line by line</t>
        </is>
      </c>
    </row>
    <row r="11" ht="15" customHeight="1">
      <c r="A11" s="23" t="n">
        <v>1998</v>
      </c>
      <c r="B11" s="44" t="n">
        <v>16</v>
      </c>
      <c r="C11" s="44" t="n">
        <v>13451</v>
      </c>
      <c r="D11" s="62">
        <f>B11/C11</f>
        <v/>
      </c>
      <c r="E11" s="12" t="n">
        <v>29</v>
      </c>
      <c r="G11" s="23" t="n">
        <v>1995</v>
      </c>
      <c r="H11" s="44" t="n">
        <v>152</v>
      </c>
      <c r="I11" s="44" t="n">
        <v>3083</v>
      </c>
      <c r="J11" s="20">
        <f>H11/I11</f>
        <v/>
      </c>
      <c r="K11" s="44" t="n">
        <v>310</v>
      </c>
      <c r="L11" s="44" t="n">
        <v>6858</v>
      </c>
      <c r="M11" s="20">
        <f>K11/L11</f>
        <v/>
      </c>
      <c r="N11" s="81" t="inlineStr">
        <is>
          <t>UNVERIFIED</t>
        </is>
      </c>
      <c r="O11" s="74" t="inlineStr">
        <is>
          <t>SX</t>
        </is>
      </c>
      <c r="P11" s="77" t="inlineStr">
        <is>
          <t>ETF annual series. ICI publishes ETF net assets by year - search the ICI Fact Book chapter tables. Values in this sheet are not tied to a specific table and have not been checked line by line</t>
        </is>
      </c>
    </row>
    <row r="12" ht="15" customHeight="1">
      <c r="A12" s="23" t="n">
        <v>1999</v>
      </c>
      <c r="B12" s="44" t="n">
        <v>34</v>
      </c>
      <c r="C12" s="44" t="n">
        <v>16635</v>
      </c>
      <c r="D12" s="62">
        <f>B12/C12</f>
        <v/>
      </c>
      <c r="E12" s="12" t="n">
        <v>30</v>
      </c>
      <c r="G12" s="23" t="n">
        <v>1996</v>
      </c>
      <c r="H12" s="44" t="n">
        <v>195</v>
      </c>
      <c r="I12" s="44" t="n">
        <v>4064</v>
      </c>
      <c r="J12" s="20">
        <f>H12/I12</f>
        <v/>
      </c>
      <c r="K12" s="44" t="n">
        <v>405</v>
      </c>
      <c r="L12" s="44" t="n">
        <v>8484</v>
      </c>
      <c r="M12" s="20">
        <f>K12/L12</f>
        <v/>
      </c>
      <c r="N12" s="81" t="inlineStr">
        <is>
          <t>UNVERIFIED</t>
        </is>
      </c>
      <c r="O12" s="74" t="inlineStr">
        <is>
          <t>SX</t>
        </is>
      </c>
      <c r="P12" s="77" t="inlineStr">
        <is>
          <t>ETF annual series. ICI publishes ETF net assets by year - search the ICI Fact Book chapter tables. Values in this sheet are not tied to a specific table and have not been checked line by line</t>
        </is>
      </c>
    </row>
    <row r="13" ht="15" customHeight="1">
      <c r="A13" s="23" t="n">
        <v>2000</v>
      </c>
      <c r="B13" s="44" t="n">
        <v>66</v>
      </c>
      <c r="C13" s="44" t="n">
        <v>15104</v>
      </c>
      <c r="D13" s="62">
        <f>B13/C13</f>
        <v/>
      </c>
      <c r="E13" s="12" t="n">
        <v>80</v>
      </c>
      <c r="G13" s="23" t="n">
        <v>1997</v>
      </c>
      <c r="H13" s="44" t="n">
        <v>275</v>
      </c>
      <c r="I13" s="44" t="n">
        <v>5778</v>
      </c>
      <c r="J13" s="20">
        <f>H13/I13</f>
        <v/>
      </c>
      <c r="K13" s="44" t="n">
        <v>520</v>
      </c>
      <c r="L13" s="44" t="n">
        <v>10880</v>
      </c>
      <c r="M13" s="20">
        <f>K13/L13</f>
        <v/>
      </c>
      <c r="N13" s="81" t="inlineStr">
        <is>
          <t>UNVERIFIED</t>
        </is>
      </c>
      <c r="O13" s="74" t="inlineStr">
        <is>
          <t>SX</t>
        </is>
      </c>
      <c r="P13" s="77" t="inlineStr">
        <is>
          <t>ETF annual series. ICI publishes ETF net assets by year - search the ICI Fact Book chapter tables. Values in this sheet are not tied to a specific table and have not been checked line by line</t>
        </is>
      </c>
    </row>
    <row r="14" ht="15" customHeight="1">
      <c r="A14" s="23" t="n">
        <v>2001</v>
      </c>
      <c r="B14" s="44" t="n">
        <v>84</v>
      </c>
      <c r="C14" s="44" t="n">
        <v>13855</v>
      </c>
      <c r="D14" s="62">
        <f>B14/C14</f>
        <v/>
      </c>
      <c r="E14" s="12" t="n">
        <v>102</v>
      </c>
      <c r="G14" s="23" t="n">
        <v>1998</v>
      </c>
      <c r="H14" s="44" t="n">
        <v>340</v>
      </c>
      <c r="I14" s="44" t="n">
        <v>7318</v>
      </c>
      <c r="J14" s="20">
        <f>H14/I14</f>
        <v/>
      </c>
      <c r="K14" s="44" t="n">
        <v>580</v>
      </c>
      <c r="L14" s="44" t="n">
        <v>13451</v>
      </c>
      <c r="M14" s="20">
        <f>K14/L14</f>
        <v/>
      </c>
      <c r="N14" s="81" t="inlineStr">
        <is>
          <t>UNVERIFIED</t>
        </is>
      </c>
      <c r="O14" s="74" t="inlineStr">
        <is>
          <t>SX</t>
        </is>
      </c>
      <c r="P14" s="77" t="inlineStr">
        <is>
          <t>ETF annual series. ICI publishes ETF net assets by year - search the ICI Fact Book chapter tables. Values in this sheet are not tied to a specific table and have not been checked line by line</t>
        </is>
      </c>
    </row>
    <row r="15" ht="15" customHeight="1">
      <c r="A15" s="23" t="n">
        <v>2002</v>
      </c>
      <c r="B15" s="44" t="n">
        <v>102</v>
      </c>
      <c r="C15" s="44" t="n">
        <v>10049</v>
      </c>
      <c r="D15" s="62">
        <f>B15/C15</f>
        <v/>
      </c>
      <c r="E15" s="12" t="n">
        <v>113</v>
      </c>
      <c r="G15" s="23" t="n">
        <v>1999</v>
      </c>
      <c r="H15" s="44" t="n">
        <v>597</v>
      </c>
      <c r="I15" s="44" t="n">
        <v>14223</v>
      </c>
      <c r="J15" s="20">
        <f>H15/I15</f>
        <v/>
      </c>
      <c r="K15" s="44" t="n">
        <v>980</v>
      </c>
      <c r="L15" s="44" t="n">
        <v>16635</v>
      </c>
      <c r="M15" s="20">
        <f>K15/L15</f>
        <v/>
      </c>
      <c r="N15" s="81" t="inlineStr">
        <is>
          <t>UNVERIFIED</t>
        </is>
      </c>
      <c r="O15" s="74" t="inlineStr">
        <is>
          <t>SX</t>
        </is>
      </c>
      <c r="P15" s="77" t="inlineStr">
        <is>
          <t>ETF annual series. ICI publishes ETF net assets by year - search the ICI Fact Book chapter tables. Values in this sheet are not tied to a specific table and have not been checked line by line</t>
        </is>
      </c>
    </row>
    <row r="16" ht="15" customHeight="1">
      <c r="A16" s="23" t="n">
        <v>2003</v>
      </c>
      <c r="B16" s="44" t="n">
        <v>151</v>
      </c>
      <c r="C16" s="44" t="n">
        <v>14266</v>
      </c>
      <c r="D16" s="62">
        <f>B16/C16</f>
        <v/>
      </c>
      <c r="E16" s="12" t="n">
        <v>119</v>
      </c>
      <c r="G16" s="23" t="n">
        <v>2000</v>
      </c>
      <c r="H16" s="44" t="n">
        <v>560</v>
      </c>
      <c r="I16" s="44" t="n">
        <v>14954</v>
      </c>
      <c r="J16" s="20">
        <f>H16/I16</f>
        <v/>
      </c>
      <c r="K16" s="44" t="n">
        <v>850</v>
      </c>
      <c r="L16" s="44" t="n">
        <v>15104</v>
      </c>
      <c r="M16" s="20">
        <f>K16/L16</f>
        <v/>
      </c>
      <c r="N16" s="81" t="inlineStr">
        <is>
          <t>UNVERIFIED</t>
        </is>
      </c>
      <c r="O16" s="74" t="inlineStr">
        <is>
          <t>SX</t>
        </is>
      </c>
      <c r="P16" s="77" t="inlineStr">
        <is>
          <t>ETF annual series. ICI publishes ETF net assets by year - search the ICI Fact Book chapter tables. Values in this sheet are not tied to a specific table and have not been checked line by line</t>
        </is>
      </c>
    </row>
    <row r="17" ht="15" customHeight="1">
      <c r="A17" s="23" t="n">
        <v>2004</v>
      </c>
      <c r="B17" s="44" t="n">
        <v>228</v>
      </c>
      <c r="C17" s="44" t="n">
        <v>16324</v>
      </c>
      <c r="D17" s="62">
        <f>B17/C17</f>
        <v/>
      </c>
      <c r="E17" s="12" t="n">
        <v>152</v>
      </c>
      <c r="G17" s="23" t="n">
        <v>2001</v>
      </c>
      <c r="H17" s="44" t="n">
        <v>382</v>
      </c>
      <c r="I17" s="44" t="n">
        <v>10311</v>
      </c>
      <c r="J17" s="20">
        <f>H17/I17</f>
        <v/>
      </c>
      <c r="K17" s="44" t="n">
        <v>550</v>
      </c>
      <c r="L17" s="44" t="n">
        <v>13855</v>
      </c>
      <c r="M17" s="20">
        <f>K17/L17</f>
        <v/>
      </c>
      <c r="N17" s="81" t="inlineStr">
        <is>
          <t>UNVERIFIED</t>
        </is>
      </c>
      <c r="O17" s="74" t="inlineStr">
        <is>
          <t>SX</t>
        </is>
      </c>
      <c r="P17" s="77" t="inlineStr">
        <is>
          <t>ETF annual series. ICI publishes ETF net assets by year - search the ICI Fact Book chapter tables. Values in this sheet are not tied to a specific table and have not been checked line by line</t>
        </is>
      </c>
    </row>
    <row r="18" ht="15" customHeight="1">
      <c r="A18" s="23" t="n">
        <v>2005</v>
      </c>
      <c r="B18" s="44" t="n">
        <v>296</v>
      </c>
      <c r="C18" s="44" t="n">
        <v>17001</v>
      </c>
      <c r="D18" s="62">
        <f>B18/C18</f>
        <v/>
      </c>
      <c r="E18" s="12" t="n">
        <v>204</v>
      </c>
      <c r="G18" s="23" t="n">
        <v>2002</v>
      </c>
      <c r="H18" s="44" t="n">
        <v>300</v>
      </c>
      <c r="I18" s="44" t="n">
        <v>8545</v>
      </c>
      <c r="J18" s="20">
        <f>H18/I18</f>
        <v/>
      </c>
      <c r="K18" s="44" t="n">
        <v>420</v>
      </c>
      <c r="L18" s="44" t="n">
        <v>10049</v>
      </c>
      <c r="M18" s="20">
        <f>K18/L18</f>
        <v/>
      </c>
      <c r="N18" s="81" t="inlineStr">
        <is>
          <t>UNVERIFIED</t>
        </is>
      </c>
      <c r="O18" s="74" t="inlineStr">
        <is>
          <t>SX</t>
        </is>
      </c>
      <c r="P18" s="77" t="inlineStr">
        <is>
          <t>ETF annual series. ICI publishes ETF net assets by year - search the ICI Fact Book chapter tables. Values in this sheet are not tied to a specific table and have not been checked line by line</t>
        </is>
      </c>
    </row>
    <row r="19" ht="15" customHeight="1">
      <c r="A19" s="23" t="n">
        <v>2006</v>
      </c>
      <c r="B19" s="44" t="n">
        <v>423</v>
      </c>
      <c r="C19" s="44" t="n">
        <v>19426</v>
      </c>
      <c r="D19" s="62">
        <f>B19/C19</f>
        <v/>
      </c>
      <c r="E19" s="12" t="n">
        <v>359</v>
      </c>
      <c r="G19" s="23" t="n">
        <v>2003</v>
      </c>
      <c r="H19" s="44" t="n">
        <v>380</v>
      </c>
      <c r="I19" s="44" t="n">
        <v>10089</v>
      </c>
      <c r="J19" s="20">
        <f>H19/I19</f>
        <v/>
      </c>
      <c r="K19" s="44" t="n">
        <v>620</v>
      </c>
      <c r="L19" s="44" t="n">
        <v>14266</v>
      </c>
      <c r="M19" s="20">
        <f>K19/L19</f>
        <v/>
      </c>
      <c r="N19" s="81" t="inlineStr">
        <is>
          <t>UNVERIFIED</t>
        </is>
      </c>
      <c r="O19" s="74" t="inlineStr">
        <is>
          <t>SX</t>
        </is>
      </c>
      <c r="P19" s="77" t="inlineStr">
        <is>
          <t>ETF annual series. ICI publishes ETF net assets by year - search the ICI Fact Book chapter tables. Values in this sheet are not tied to a specific table and have not been checked line by line</t>
        </is>
      </c>
    </row>
    <row r="20" ht="15" customHeight="1">
      <c r="A20" s="23" t="n">
        <v>2007</v>
      </c>
      <c r="B20" s="44" t="n">
        <v>608</v>
      </c>
      <c r="C20" s="44" t="n">
        <v>19948</v>
      </c>
      <c r="D20" s="62">
        <f>B20/C20</f>
        <v/>
      </c>
      <c r="E20" s="12" t="n">
        <v>629</v>
      </c>
      <c r="G20" s="23" t="n">
        <v>2004</v>
      </c>
      <c r="H20" s="44" t="n">
        <v>520</v>
      </c>
      <c r="I20" s="44" t="n">
        <v>11618</v>
      </c>
      <c r="J20" s="20">
        <f>H20/I20</f>
        <v/>
      </c>
      <c r="K20" s="44" t="n">
        <v>890</v>
      </c>
      <c r="L20" s="44" t="n">
        <v>16324</v>
      </c>
      <c r="M20" s="20">
        <f>K20/L20</f>
        <v/>
      </c>
      <c r="N20" s="81" t="inlineStr">
        <is>
          <t>UNVERIFIED</t>
        </is>
      </c>
      <c r="O20" s="74" t="inlineStr">
        <is>
          <t>SX</t>
        </is>
      </c>
      <c r="P20" s="77" t="inlineStr">
        <is>
          <t>ETF annual series. ICI publishes ETF net assets by year - search the ICI Fact Book chapter tables. Values in this sheet are not tied to a specific table and have not been checked line by line</t>
        </is>
      </c>
    </row>
    <row r="21" ht="15" customHeight="1">
      <c r="A21" s="23" t="n">
        <v>2008</v>
      </c>
      <c r="B21" s="44" t="n">
        <v>531</v>
      </c>
      <c r="C21" s="44" t="n">
        <v>11738</v>
      </c>
      <c r="D21" s="62">
        <f>B21/C21</f>
        <v/>
      </c>
      <c r="E21" s="12" t="n">
        <v>728</v>
      </c>
      <c r="G21" s="23" t="n">
        <v>2005</v>
      </c>
      <c r="H21" s="44" t="n">
        <v>684</v>
      </c>
      <c r="I21" s="44" t="n">
        <v>14125</v>
      </c>
      <c r="J21" s="20">
        <f>H21/I21</f>
        <v/>
      </c>
      <c r="K21" s="44" t="n">
        <v>1350</v>
      </c>
      <c r="L21" s="44" t="n">
        <v>17001</v>
      </c>
      <c r="M21" s="20">
        <f>K21/L21</f>
        <v/>
      </c>
      <c r="N21" s="81" t="inlineStr">
        <is>
          <t>UNVERIFIED</t>
        </is>
      </c>
      <c r="O21" s="74" t="inlineStr">
        <is>
          <t>SX</t>
        </is>
      </c>
      <c r="P21" s="77" t="inlineStr">
        <is>
          <t>ETF annual series. ICI publishes ETF net assets by year - search the ICI Fact Book chapter tables. Values in this sheet are not tied to a specific table and have not been checked line by line</t>
        </is>
      </c>
    </row>
    <row r="22" ht="15" customHeight="1">
      <c r="A22" s="23" t="n">
        <v>2009</v>
      </c>
      <c r="B22" s="44" t="n">
        <v>777</v>
      </c>
      <c r="C22" s="44" t="n">
        <v>15077</v>
      </c>
      <c r="D22" s="62">
        <f>B22/C22</f>
        <v/>
      </c>
      <c r="E22" s="12" t="n">
        <v>797</v>
      </c>
      <c r="G22" s="23" t="n">
        <v>2006</v>
      </c>
      <c r="H22" s="44" t="n">
        <v>900</v>
      </c>
      <c r="I22" s="44" t="n">
        <v>21015</v>
      </c>
      <c r="J22" s="20">
        <f>H22/I22</f>
        <v/>
      </c>
      <c r="K22" s="44" t="n">
        <v>1680</v>
      </c>
      <c r="L22" s="44" t="n">
        <v>19426</v>
      </c>
      <c r="M22" s="20">
        <f>K22/L22</f>
        <v/>
      </c>
      <c r="N22" s="81" t="inlineStr">
        <is>
          <t>UNVERIFIED</t>
        </is>
      </c>
      <c r="O22" s="74" t="inlineStr">
        <is>
          <t>SX</t>
        </is>
      </c>
      <c r="P22" s="77" t="inlineStr">
        <is>
          <t>ETF annual series. ICI publishes ETF net assets by year - search the ICI Fact Book chapter tables. Values in this sheet are not tied to a specific table and have not been checked line by line</t>
        </is>
      </c>
    </row>
    <row r="23" ht="15" customHeight="1">
      <c r="A23" s="23" t="n">
        <v>2010</v>
      </c>
      <c r="B23" s="44" t="n">
        <v>992</v>
      </c>
      <c r="C23" s="44" t="n">
        <v>17139</v>
      </c>
      <c r="D23" s="62">
        <f>B23/C23</f>
        <v/>
      </c>
      <c r="E23" s="12" t="n">
        <v>923</v>
      </c>
      <c r="G23" s="23" t="n">
        <v>2007</v>
      </c>
      <c r="H23" s="44" t="n">
        <v>1182</v>
      </c>
      <c r="I23" s="44" t="n">
        <v>29210</v>
      </c>
      <c r="J23" s="20">
        <f>H23/I23</f>
        <v/>
      </c>
      <c r="K23" s="44" t="n">
        <v>2100</v>
      </c>
      <c r="L23" s="44" t="n">
        <v>19948</v>
      </c>
      <c r="M23" s="20">
        <f>K23/L23</f>
        <v/>
      </c>
      <c r="N23" s="81" t="inlineStr">
        <is>
          <t>UNVERIFIED</t>
        </is>
      </c>
      <c r="O23" s="74" t="inlineStr">
        <is>
          <t>SX</t>
        </is>
      </c>
      <c r="P23" s="77" t="inlineStr">
        <is>
          <t>ETF annual series. ICI publishes ETF net assets by year - search the ICI Fact Book chapter tables. Values in this sheet are not tied to a specific table and have not been checked line by line</t>
        </is>
      </c>
    </row>
    <row r="24" ht="15" customHeight="1">
      <c r="A24" s="23" t="n">
        <v>2011</v>
      </c>
      <c r="B24" s="44" t="n">
        <v>1048</v>
      </c>
      <c r="C24" s="44" t="n">
        <v>15641</v>
      </c>
      <c r="D24" s="62">
        <f>B24/C24</f>
        <v/>
      </c>
      <c r="E24" s="12" t="n">
        <v>1032</v>
      </c>
      <c r="G24" s="23" t="n">
        <v>2008</v>
      </c>
      <c r="H24" s="44" t="n">
        <v>1370</v>
      </c>
      <c r="I24" s="44" t="n">
        <v>38448</v>
      </c>
      <c r="J24" s="20">
        <f>H24/I24</f>
        <v/>
      </c>
      <c r="K24" s="44" t="n">
        <v>1200</v>
      </c>
      <c r="L24" s="44" t="n">
        <v>11738</v>
      </c>
      <c r="M24" s="20">
        <f>K24/L24</f>
        <v/>
      </c>
      <c r="N24" s="81" t="inlineStr">
        <is>
          <t>UNVERIFIED</t>
        </is>
      </c>
      <c r="O24" s="74" t="inlineStr">
        <is>
          <t>SX</t>
        </is>
      </c>
      <c r="P24" s="77" t="inlineStr">
        <is>
          <t>ETF annual series. ICI publishes ETF net assets by year - search the ICI Fact Book chapter tables. Values in this sheet are not tied to a specific table and have not been checked line by line</t>
        </is>
      </c>
    </row>
    <row r="25" ht="15" customHeight="1">
      <c r="A25" s="23" t="n">
        <v>2012</v>
      </c>
      <c r="B25" s="44" t="n">
        <v>1337</v>
      </c>
      <c r="C25" s="44" t="n">
        <v>18668</v>
      </c>
      <c r="D25" s="62">
        <f>B25/C25</f>
        <v/>
      </c>
      <c r="E25" s="12" t="n">
        <v>1194</v>
      </c>
      <c r="G25" s="23" t="n">
        <v>2009</v>
      </c>
      <c r="H25" s="44" t="n">
        <v>780</v>
      </c>
      <c r="I25" s="44" t="n">
        <v>20210</v>
      </c>
      <c r="J25" s="20">
        <f>H25/I25</f>
        <v/>
      </c>
      <c r="K25" s="44" t="n">
        <v>1400</v>
      </c>
      <c r="L25" s="44" t="n">
        <v>15077</v>
      </c>
      <c r="M25" s="20">
        <f>K25/L25</f>
        <v/>
      </c>
      <c r="N25" s="81" t="inlineStr">
        <is>
          <t>UNVERIFIED</t>
        </is>
      </c>
      <c r="O25" s="74" t="inlineStr">
        <is>
          <t>SX</t>
        </is>
      </c>
      <c r="P25" s="77" t="inlineStr">
        <is>
          <t>ETF annual series. ICI publishes ETF net assets by year - search the ICI Fact Book chapter tables. Values in this sheet are not tied to a specific table and have not been checked line by line</t>
        </is>
      </c>
    </row>
    <row r="26" ht="15" customHeight="1">
      <c r="A26" s="23" t="n">
        <v>2013</v>
      </c>
      <c r="B26" s="44" t="n">
        <v>1675</v>
      </c>
      <c r="C26" s="44" t="n">
        <v>24035</v>
      </c>
      <c r="D26" s="62">
        <f>B26/C26</f>
        <v/>
      </c>
      <c r="E26" s="12" t="n">
        <v>1294</v>
      </c>
      <c r="G26" s="23" t="n">
        <v>2010</v>
      </c>
      <c r="H26" s="44" t="n">
        <v>916</v>
      </c>
      <c r="I26" s="44" t="n">
        <v>21080</v>
      </c>
      <c r="J26" s="20">
        <f>H26/I26</f>
        <v/>
      </c>
      <c r="K26" s="44" t="n">
        <v>1650</v>
      </c>
      <c r="L26" s="44" t="n">
        <v>17139</v>
      </c>
      <c r="M26" s="20">
        <f>K26/L26</f>
        <v/>
      </c>
      <c r="N26" s="81" t="inlineStr">
        <is>
          <t>UNVERIFIED</t>
        </is>
      </c>
      <c r="O26" s="74" t="inlineStr">
        <is>
          <t>SX</t>
        </is>
      </c>
      <c r="P26" s="77" t="inlineStr">
        <is>
          <t>ETF annual series. ICI publishes ETF net assets by year - search the ICI Fact Book chapter tables. Values in this sheet are not tied to a specific table and have not been checked line by line</t>
        </is>
      </c>
    </row>
    <row r="27" ht="15" customHeight="1">
      <c r="A27" s="23" t="n">
        <v>2014</v>
      </c>
      <c r="B27" s="44" t="n">
        <v>1974</v>
      </c>
      <c r="C27" s="44" t="n">
        <v>25069</v>
      </c>
      <c r="D27" s="62">
        <f>B27/C27</f>
        <v/>
      </c>
      <c r="E27" s="12" t="n">
        <v>1411</v>
      </c>
      <c r="G27" s="23" t="n">
        <v>2011</v>
      </c>
      <c r="H27" s="44" t="n">
        <v>870</v>
      </c>
      <c r="I27" s="44" t="n">
        <v>22466</v>
      </c>
      <c r="J27" s="20">
        <f>H27/I27</f>
        <v/>
      </c>
      <c r="K27" s="44" t="n">
        <v>1450</v>
      </c>
      <c r="L27" s="44" t="n">
        <v>15641</v>
      </c>
      <c r="M27" s="20">
        <f>K27/L27</f>
        <v/>
      </c>
      <c r="N27" s="81" t="inlineStr">
        <is>
          <t>UNVERIFIED</t>
        </is>
      </c>
      <c r="O27" s="74" t="inlineStr">
        <is>
          <t>SX</t>
        </is>
      </c>
      <c r="P27" s="77" t="inlineStr">
        <is>
          <t>ETF annual series. ICI publishes ETF net assets by year - search the ICI Fact Book chapter tables. Values in this sheet are not tied to a specific table and have not been checked line by line</t>
        </is>
      </c>
    </row>
    <row r="28" ht="15" customHeight="1">
      <c r="A28" s="23" t="n">
        <v>2015</v>
      </c>
      <c r="B28" s="44" t="n">
        <v>2101</v>
      </c>
      <c r="C28" s="44" t="n">
        <v>25068</v>
      </c>
      <c r="D28" s="62">
        <f>B28/C28</f>
        <v/>
      </c>
      <c r="E28" s="12" t="n">
        <v>1594</v>
      </c>
      <c r="G28" s="23" t="n">
        <v>2012</v>
      </c>
      <c r="H28" s="44" t="n">
        <v>810</v>
      </c>
      <c r="I28" s="44" t="n">
        <v>18498</v>
      </c>
      <c r="J28" s="20">
        <f>H28/I28</f>
        <v/>
      </c>
      <c r="K28" s="44" t="n">
        <v>1700</v>
      </c>
      <c r="L28" s="44" t="n">
        <v>18668</v>
      </c>
      <c r="M28" s="20">
        <f>K28/L28</f>
        <v/>
      </c>
      <c r="N28" s="81" t="inlineStr">
        <is>
          <t>UNVERIFIED</t>
        </is>
      </c>
      <c r="O28" s="74" t="inlineStr">
        <is>
          <t>SX</t>
        </is>
      </c>
      <c r="P28" s="77" t="inlineStr">
        <is>
          <t>ETF annual series. ICI publishes ETF net assets by year - search the ICI Fact Book chapter tables. Values in this sheet are not tied to a specific table and have not been checked line by line</t>
        </is>
      </c>
    </row>
    <row r="29" ht="15" customHeight="1">
      <c r="A29" s="23" t="n">
        <v>2016</v>
      </c>
      <c r="B29" s="44" t="n">
        <v>2524</v>
      </c>
      <c r="C29" s="44" t="n">
        <v>27352</v>
      </c>
      <c r="D29" s="62">
        <f>B29/C29</f>
        <v/>
      </c>
      <c r="E29" s="12" t="n">
        <v>1716</v>
      </c>
      <c r="G29" s="23" t="n">
        <v>2013</v>
      </c>
      <c r="H29" s="44" t="n">
        <v>1046</v>
      </c>
      <c r="I29" s="44" t="n">
        <v>19131</v>
      </c>
      <c r="J29" s="20">
        <f>H29/I29</f>
        <v/>
      </c>
      <c r="K29" s="44" t="n">
        <v>2200</v>
      </c>
      <c r="L29" s="44" t="n">
        <v>24035</v>
      </c>
      <c r="M29" s="20">
        <f>K29/L29</f>
        <v/>
      </c>
      <c r="N29" s="81" t="inlineStr">
        <is>
          <t>UNVERIFIED</t>
        </is>
      </c>
      <c r="O29" s="74" t="inlineStr">
        <is>
          <t>SX</t>
        </is>
      </c>
      <c r="P29" s="77" t="inlineStr">
        <is>
          <t>ETF annual series. ICI publishes ETF net assets by year - search the ICI Fact Book chapter tables. Values in this sheet are not tied to a specific table and have not been checked line by line</t>
        </is>
      </c>
    </row>
    <row r="30" ht="15" customHeight="1">
      <c r="A30" s="23" t="n">
        <v>2017</v>
      </c>
      <c r="B30" s="44" t="n">
        <v>3401</v>
      </c>
      <c r="C30" s="44" t="n">
        <v>32121</v>
      </c>
      <c r="D30" s="62">
        <f>B30/C30</f>
        <v/>
      </c>
      <c r="E30" s="12" t="n">
        <v>1832</v>
      </c>
      <c r="G30" s="23" t="n">
        <v>2014</v>
      </c>
      <c r="H30" s="44" t="n">
        <v>1020</v>
      </c>
      <c r="I30" s="44" t="n">
        <v>22500</v>
      </c>
      <c r="J30" s="20">
        <f>H30/I30</f>
        <v/>
      </c>
      <c r="K30" s="44" t="n">
        <v>2350</v>
      </c>
      <c r="L30" s="44" t="n">
        <v>25069</v>
      </c>
      <c r="M30" s="20">
        <f>K30/L30</f>
        <v/>
      </c>
      <c r="N30" s="81" t="inlineStr">
        <is>
          <t>UNVERIFIED</t>
        </is>
      </c>
      <c r="O30" s="74" t="inlineStr">
        <is>
          <t>SX</t>
        </is>
      </c>
      <c r="P30" s="77" t="inlineStr">
        <is>
          <t>ETF annual series. ICI publishes ETF net assets by year - search the ICI Fact Book chapter tables. Values in this sheet are not tied to a specific table and have not been checked line by line</t>
        </is>
      </c>
    </row>
    <row r="31" ht="15" customHeight="1">
      <c r="A31" s="23" t="n">
        <v>2018</v>
      </c>
      <c r="B31" s="44" t="n">
        <v>3371</v>
      </c>
      <c r="C31" s="44" t="n">
        <v>30437</v>
      </c>
      <c r="D31" s="62">
        <f>B31/C31</f>
        <v/>
      </c>
      <c r="E31" s="12" t="n">
        <v>2057</v>
      </c>
      <c r="G31" s="23" t="n">
        <v>2015</v>
      </c>
      <c r="H31" s="44" t="n">
        <v>912</v>
      </c>
      <c r="I31" s="44" t="n">
        <v>23097</v>
      </c>
      <c r="J31" s="20">
        <f>H31/I31</f>
        <v/>
      </c>
      <c r="K31" s="44" t="n">
        <v>2450</v>
      </c>
      <c r="L31" s="44" t="n">
        <v>25068</v>
      </c>
      <c r="M31" s="20">
        <f>K31/L31</f>
        <v/>
      </c>
      <c r="N31" s="81" t="inlineStr">
        <is>
          <t>UNVERIFIED</t>
        </is>
      </c>
      <c r="O31" s="74" t="inlineStr">
        <is>
          <t>SX</t>
        </is>
      </c>
      <c r="P31" s="77" t="inlineStr">
        <is>
          <t>ETF annual series. ICI publishes ETF net assets by year - search the ICI Fact Book chapter tables. Values in this sheet are not tied to a specific table and have not been checked line by line</t>
        </is>
      </c>
    </row>
    <row r="32" ht="15" customHeight="1">
      <c r="A32" s="23" t="n">
        <v>2019</v>
      </c>
      <c r="B32" s="44" t="n">
        <v>4396</v>
      </c>
      <c r="C32" s="44" t="n">
        <v>36469</v>
      </c>
      <c r="D32" s="62">
        <f>B32/C32</f>
        <v/>
      </c>
      <c r="E32" s="12" t="n">
        <v>2176</v>
      </c>
      <c r="G32" s="23" t="n">
        <v>2016</v>
      </c>
      <c r="H32" s="44" t="n">
        <v>850</v>
      </c>
      <c r="I32" s="44" t="n">
        <v>22800</v>
      </c>
      <c r="J32" s="20">
        <f>H32/I32</f>
        <v/>
      </c>
      <c r="K32" s="44" t="n">
        <v>2300</v>
      </c>
      <c r="L32" s="44" t="n">
        <v>27352</v>
      </c>
      <c r="M32" s="20">
        <f>K32/L32</f>
        <v/>
      </c>
      <c r="N32" s="81" t="inlineStr">
        <is>
          <t>UNVERIFIED</t>
        </is>
      </c>
      <c r="O32" s="74" t="inlineStr">
        <is>
          <t>SX</t>
        </is>
      </c>
      <c r="P32" s="77" t="inlineStr">
        <is>
          <t>ETF annual series. ICI publishes ETF net assets by year - search the ICI Fact Book chapter tables. Values in this sheet are not tied to a specific table and have not been checked line by line</t>
        </is>
      </c>
    </row>
    <row r="33" ht="15" customHeight="1">
      <c r="A33" s="23" t="n">
        <v>2020</v>
      </c>
      <c r="B33" s="44" t="n">
        <v>5447</v>
      </c>
      <c r="C33" s="44" t="n">
        <v>40720</v>
      </c>
      <c r="D33" s="62">
        <f>B33/C33</f>
        <v/>
      </c>
      <c r="E33" s="12" t="n">
        <v>2296</v>
      </c>
      <c r="G33" s="23" t="n">
        <v>2017</v>
      </c>
      <c r="H33" s="44" t="n">
        <v>1050</v>
      </c>
      <c r="I33" s="44" t="n">
        <v>27510</v>
      </c>
      <c r="J33" s="20">
        <f>H33/I33</f>
        <v/>
      </c>
      <c r="K33" s="44" t="n">
        <v>2850</v>
      </c>
      <c r="L33" s="44" t="n">
        <v>32121</v>
      </c>
      <c r="M33" s="20">
        <f>K33/L33</f>
        <v/>
      </c>
      <c r="N33" s="81" t="inlineStr">
        <is>
          <t>UNVERIFIED</t>
        </is>
      </c>
      <c r="O33" s="74" t="inlineStr">
        <is>
          <t>SX</t>
        </is>
      </c>
      <c r="P33" s="77" t="inlineStr">
        <is>
          <t>ETF annual series. ICI publishes ETF net assets by year - search the ICI Fact Book chapter tables. Values in this sheet are not tied to a specific table and have not been checked line by line</t>
        </is>
      </c>
    </row>
    <row r="34" ht="15" customHeight="1">
      <c r="A34" s="23" t="n">
        <v>2021</v>
      </c>
      <c r="B34" s="44" t="n">
        <v>7211</v>
      </c>
      <c r="C34" s="44" t="n">
        <v>48560</v>
      </c>
      <c r="D34" s="62">
        <f>B34/C34</f>
        <v/>
      </c>
      <c r="E34" s="12" t="n">
        <v>2570</v>
      </c>
      <c r="G34" s="23" t="n">
        <v>2018</v>
      </c>
      <c r="H34" s="44" t="n">
        <v>1131</v>
      </c>
      <c r="I34" s="44" t="n">
        <v>32853</v>
      </c>
      <c r="J34" s="20">
        <f>H34/I34</f>
        <v/>
      </c>
      <c r="K34" s="44" t="n">
        <v>3100</v>
      </c>
      <c r="L34" s="44" t="n">
        <v>30437</v>
      </c>
      <c r="M34" s="20">
        <f>K34/L34</f>
        <v/>
      </c>
      <c r="N34" s="81" t="inlineStr">
        <is>
          <t>UNVERIFIED</t>
        </is>
      </c>
      <c r="O34" s="74" t="inlineStr">
        <is>
          <t>SX</t>
        </is>
      </c>
      <c r="P34" s="77" t="inlineStr">
        <is>
          <t>ETF annual series. ICI publishes ETF net assets by year - search the ICI Fact Book chapter tables. Values in this sheet are not tied to a specific table and have not been checked line by line</t>
        </is>
      </c>
    </row>
    <row r="35" ht="15" customHeight="1">
      <c r="A35" s="23" t="n">
        <v>2022</v>
      </c>
      <c r="B35" s="44" t="n">
        <v>6447</v>
      </c>
      <c r="C35" s="44" t="n">
        <v>40360</v>
      </c>
      <c r="D35" s="62">
        <f>B35/C35</f>
        <v/>
      </c>
      <c r="E35" s="12" t="n">
        <v>2844</v>
      </c>
      <c r="G35" s="23" t="n">
        <v>2019</v>
      </c>
      <c r="H35" s="44" t="n">
        <v>1200</v>
      </c>
      <c r="I35" s="44" t="n">
        <v>30280</v>
      </c>
      <c r="J35" s="20">
        <f>H35/I35</f>
        <v/>
      </c>
      <c r="K35" s="44" t="n">
        <v>3500</v>
      </c>
      <c r="L35" s="44" t="n">
        <v>36469</v>
      </c>
      <c r="M35" s="20">
        <f>K35/L35</f>
        <v/>
      </c>
      <c r="N35" s="81" t="inlineStr">
        <is>
          <t>UNVERIFIED</t>
        </is>
      </c>
      <c r="O35" s="74" t="inlineStr">
        <is>
          <t>SX</t>
        </is>
      </c>
      <c r="P35" s="77" t="inlineStr">
        <is>
          <t>ETF annual series. ICI publishes ETF net assets by year - search the ICI Fact Book chapter tables. Values in this sheet are not tied to a specific table and have not been checked line by line</t>
        </is>
      </c>
    </row>
    <row r="36" ht="15" customHeight="1">
      <c r="A36" s="23" t="n">
        <v>2023</v>
      </c>
      <c r="B36" s="44" t="n">
        <v>8115</v>
      </c>
      <c r="C36" s="44" t="n">
        <v>50788</v>
      </c>
      <c r="D36" s="62">
        <f>B36/C36</f>
        <v/>
      </c>
      <c r="E36" s="12" t="n">
        <v>3108</v>
      </c>
      <c r="G36" s="23" t="n">
        <v>2020</v>
      </c>
      <c r="H36" s="44" t="n">
        <v>1580</v>
      </c>
      <c r="I36" s="44" t="n">
        <v>55780</v>
      </c>
      <c r="J36" s="20">
        <f>H36/I36</f>
        <v/>
      </c>
      <c r="K36" s="44" t="n">
        <v>3800</v>
      </c>
      <c r="L36" s="44" t="n">
        <v>40720</v>
      </c>
      <c r="M36" s="20">
        <f>K36/L36</f>
        <v/>
      </c>
      <c r="N36" s="81" t="inlineStr">
        <is>
          <t>UNVERIFIED</t>
        </is>
      </c>
      <c r="O36" s="74" t="inlineStr">
        <is>
          <t>SX</t>
        </is>
      </c>
      <c r="P36" s="77" t="inlineStr">
        <is>
          <t>ETF annual series. ICI publishes ETF net assets by year - search the ICI Fact Book chapter tables. Values in this sheet are not tied to a specific table and have not been checked line by line</t>
        </is>
      </c>
    </row>
    <row r="37" ht="15" customHeight="1">
      <c r="A37" s="23" t="n">
        <v>2024</v>
      </c>
      <c r="B37" s="44" t="n">
        <v>10330</v>
      </c>
      <c r="C37" s="44" t="n">
        <v>61500</v>
      </c>
      <c r="D37" s="62">
        <f>B37/C37</f>
        <v/>
      </c>
      <c r="E37" s="12" t="n">
        <v>3540</v>
      </c>
      <c r="G37" s="23" t="n">
        <v>2021</v>
      </c>
      <c r="H37" s="44" t="n">
        <v>1650</v>
      </c>
      <c r="I37" s="44" t="n">
        <v>59200</v>
      </c>
      <c r="J37" s="20">
        <f>H37/I37</f>
        <v/>
      </c>
      <c r="K37" s="44" t="n">
        <v>4500</v>
      </c>
      <c r="L37" s="44" t="n">
        <v>48560</v>
      </c>
      <c r="M37" s="20">
        <f>K37/L37</f>
        <v/>
      </c>
      <c r="N37" s="81" t="inlineStr">
        <is>
          <t>UNVERIFIED</t>
        </is>
      </c>
      <c r="O37" s="74" t="inlineStr">
        <is>
          <t>SX</t>
        </is>
      </c>
      <c r="P37" s="77" t="inlineStr">
        <is>
          <t>ETF annual series. ICI publishes ETF net assets by year - search the ICI Fact Book chapter tables. Values in this sheet are not tied to a specific table and have not been checked line by line</t>
        </is>
      </c>
    </row>
    <row r="38" ht="15" customHeight="1">
      <c r="A38" s="23" t="n">
        <v>2025</v>
      </c>
      <c r="B38" s="44" t="n">
        <v>13460</v>
      </c>
      <c r="C38" s="44" t="n">
        <v>64500</v>
      </c>
      <c r="D38" s="62">
        <f>B38/C38</f>
        <v/>
      </c>
      <c r="E38" s="12" t="n">
        <v>4200</v>
      </c>
      <c r="G38" s="23" t="n">
        <v>2022</v>
      </c>
      <c r="H38" s="44" t="n">
        <v>1180</v>
      </c>
      <c r="I38" s="44" t="n">
        <v>53200</v>
      </c>
      <c r="J38" s="20">
        <f>H38/I38</f>
        <v/>
      </c>
      <c r="K38" s="44" t="n">
        <v>3500</v>
      </c>
      <c r="L38" s="44" t="n">
        <v>40360</v>
      </c>
      <c r="M38" s="20">
        <f>K38/L38</f>
        <v/>
      </c>
      <c r="N38" s="81" t="inlineStr">
        <is>
          <t>UNVERIFIED</t>
        </is>
      </c>
      <c r="O38" s="74" t="inlineStr">
        <is>
          <t>SX</t>
        </is>
      </c>
      <c r="P38" s="77" t="inlineStr">
        <is>
          <t>ETF annual series. ICI publishes ETF net assets by year - search the ICI Fact Book chapter tables. Values in this sheet are not tied to a specific table and have not been checked line by line</t>
        </is>
      </c>
    </row>
    <row r="39" ht="15" customHeight="1">
      <c r="G39" s="23" t="n">
        <v>2023</v>
      </c>
      <c r="H39" s="44" t="n">
        <v>1250</v>
      </c>
      <c r="I39" s="44" t="n">
        <v>56500</v>
      </c>
      <c r="J39" s="20">
        <f>H39/I39</f>
        <v/>
      </c>
      <c r="K39" s="44" t="n">
        <v>3900</v>
      </c>
      <c r="L39" s="44" t="n">
        <v>50788</v>
      </c>
      <c r="M39" s="20">
        <f>K39/L39</f>
        <v/>
      </c>
    </row>
    <row r="40" ht="15" customHeight="1">
      <c r="A40" s="56" t="inlineStr">
        <is>
          <t>Summary</t>
        </is>
      </c>
      <c r="B40" s="10" t="n"/>
      <c r="C40" s="10" t="n"/>
      <c r="D40" s="10" t="n"/>
      <c r="E40" s="10" t="n"/>
      <c r="G40" s="23" t="n">
        <v>2024</v>
      </c>
      <c r="H40" s="44" t="n">
        <v>1350</v>
      </c>
      <c r="I40" s="44" t="n">
        <v>59400</v>
      </c>
      <c r="J40" s="20">
        <f>H40/I40</f>
        <v/>
      </c>
      <c r="K40" s="44" t="n">
        <v>3950</v>
      </c>
      <c r="L40" s="44" t="n">
        <v>55200</v>
      </c>
      <c r="M40" s="20">
        <f>K40/L40</f>
        <v/>
      </c>
    </row>
    <row r="41" ht="15" customHeight="1">
      <c r="A41" s="22" t="inlineStr">
        <is>
          <t>Yr 5</t>
        </is>
      </c>
      <c r="B41" s="37">
        <f>B10</f>
        <v/>
      </c>
      <c r="D41" s="62">
        <f>D10</f>
        <v/>
      </c>
      <c r="G41" s="23" t="n">
        <v>2025</v>
      </c>
      <c r="H41" s="44" t="n">
        <v>1400</v>
      </c>
      <c r="I41" s="44" t="n">
        <v>62000</v>
      </c>
      <c r="J41" s="20">
        <f>H41/I41</f>
        <v/>
      </c>
      <c r="K41" s="44" t="n">
        <v>4000</v>
      </c>
      <c r="L41" s="44" t="n">
        <v>58000</v>
      </c>
      <c r="M41" s="20">
        <f>K41/L41</f>
        <v/>
      </c>
    </row>
    <row r="42" ht="15" customHeight="1">
      <c r="A42" s="22" t="inlineStr">
        <is>
          <t>Yr 10</t>
        </is>
      </c>
      <c r="B42" s="37">
        <f>B15</f>
        <v/>
      </c>
      <c r="D42" s="62">
        <f>D15</f>
        <v/>
      </c>
    </row>
    <row r="43" ht="15" customHeight="1">
      <c r="A43" s="22" t="inlineStr">
        <is>
          <t>Yr 15</t>
        </is>
      </c>
      <c r="B43" s="37">
        <f>B20</f>
        <v/>
      </c>
      <c r="D43" s="62">
        <f>D20</f>
        <v/>
      </c>
      <c r="G43" s="56" t="inlineStr">
        <is>
          <t>Summary</t>
        </is>
      </c>
      <c r="H43" s="10" t="n"/>
      <c r="I43" s="10" t="n"/>
      <c r="J43" s="10" t="n"/>
      <c r="K43" s="10" t="n"/>
      <c r="L43" s="10" t="n"/>
      <c r="M43" s="10" t="n"/>
    </row>
    <row r="44" ht="15" customHeight="1">
      <c r="A44" s="22" t="inlineStr">
        <is>
          <t>Yr 20</t>
        </is>
      </c>
      <c r="B44" s="37">
        <f>B25</f>
        <v/>
      </c>
      <c r="D44" s="62">
        <f>D25</f>
        <v/>
      </c>
      <c r="G44" s="11" t="inlineStr">
        <is>
          <t>Avg ADR % trading (all years)</t>
        </is>
      </c>
      <c r="J44" s="20">
        <f>AVERAGE(J6:J41)</f>
        <v/>
      </c>
    </row>
    <row r="45" ht="15" customHeight="1">
      <c r="A45" s="22" t="inlineStr">
        <is>
          <t>Yr 30</t>
        </is>
      </c>
      <c r="B45" s="37">
        <f>B35</f>
        <v/>
      </c>
      <c r="D45" s="62">
        <f>D35</f>
        <v/>
      </c>
      <c r="G45" s="11" t="inlineStr">
        <is>
          <t>Avg ADR % mkt cap (all years)</t>
        </is>
      </c>
      <c r="M45" s="20">
        <f>AVERAGE(M6:M41)</f>
        <v/>
      </c>
    </row>
    <row r="46" ht="15" customHeight="1">
      <c r="A46" s="22" t="inlineStr">
        <is>
          <t>Yr 32</t>
        </is>
      </c>
      <c r="B46" s="37">
        <f>B38</f>
        <v/>
      </c>
      <c r="D46" s="62">
        <f>D38</f>
        <v/>
      </c>
      <c r="G46" s="11" t="inlineStr">
        <is>
          <t>Peak ADR % trading</t>
        </is>
      </c>
      <c r="J46" s="20">
        <f>MAX(J6:J41)</f>
        <v/>
      </c>
    </row>
    <row r="47" ht="15" customHeight="1">
      <c r="G47" s="11" t="inlineStr">
        <is>
          <t>Peak ADR % mkt cap</t>
        </is>
      </c>
      <c r="M47" s="20">
        <f>MAX(M6:M41)</f>
        <v/>
      </c>
    </row>
    <row r="48" ht="15" customHeight="1">
      <c r="A48" s="63" t="inlineStr">
        <is>
          <t>Takeaway</t>
        </is>
      </c>
      <c r="B48" s="1" t="inlineStr">
        <is>
          <t>ETFs: &lt;1% penetration through year 10; inflection around year 12-14 (~2-3%); crossed 5% at ~year 17; now ~18% at year 32. First decade = infrastructure + regulatory build; second decade = exponential adoption.</t>
        </is>
      </c>
      <c r="G48" s="11" t="inlineStr">
        <is>
          <t>Min ADR % trading</t>
        </is>
      </c>
      <c r="J48" s="20">
        <f>MIN(J6:J41)</f>
        <v/>
      </c>
    </row>
    <row r="49" ht="15" customHeight="1"/>
    <row r="50" ht="15" customHeight="1">
      <c r="G50" s="63" t="inlineStr">
        <is>
          <t>Takeaway</t>
        </is>
      </c>
      <c r="H50" s="1" t="inlineStr">
        <is>
          <t>ADRs: trading share ranged 2-6% over 35 years — remarkably stable niche, never achieved mass penetration. Mkt cap share higher at 4-11%, reflecting larger-cap bias in ADR listings. ADRs are a 'new wrapper for cross-border access' analogue — tokenization of US equities for global investors mirrors this pattern. But tokenization also offers settlement/collateral benefits that ADRs don't, suggesting higher terminal penetration.</t>
        </is>
      </c>
    </row>
    <row r="51" ht="15" customHeight="1">
      <c r="A51" s="64" t="inlineStr">
        <is>
          <t>Sources</t>
        </is>
      </c>
      <c r="B51" s="14" t="inlineStr">
        <is>
          <t>ICI Fact Book</t>
        </is>
      </c>
    </row>
    <row r="52" ht="15" customHeight="1">
      <c r="A52" t="inlineStr">
        <is>
          <t>ETF.com</t>
        </is>
      </c>
      <c r="B52" s="14" t="inlineStr">
        <is>
          <t>ETF.com</t>
        </is>
      </c>
    </row>
    <row r="53" ht="15" customHeight="1">
      <c r="A53" s="64" t="inlineStr">
        <is>
          <t>NOTE: the ADR series (columns G-M) carries no source in the original workbook and has not been verified. BNY publishes DR market data - see Audit.</t>
        </is>
      </c>
      <c r="B53" s="14" t="inlineStr">
        <is>
          <t>SIFMA Capital Markets Fact Book</t>
        </is>
      </c>
      <c r="G53" s="64" t="inlineStr">
        <is>
          <t>Sources</t>
        </is>
      </c>
      <c r="H53" s="14" t="inlineStr">
        <is>
          <t>BNY Mellon DR Directory</t>
        </is>
      </c>
    </row>
    <row r="54" ht="15" customHeight="1">
      <c r="A54" s="58" t="inlineStr">
        <is>
          <t>ETF AUM 1993-2023</t>
        </is>
      </c>
      <c r="B54" s="13" t="inlineStr">
        <is>
          <t>ICI 2025 Fact Book Table 3.1 (ETF total net assets, annual)</t>
        </is>
      </c>
      <c r="D54" s="14" t="inlineStr">
        <is>
          <t>https://www.icifactbook.org/pdf/2025-factbook.pdf</t>
        </is>
      </c>
      <c r="G54" s="58" t="inlineStr">
        <is>
          <t>ADR trading value &amp; programs</t>
        </is>
      </c>
      <c r="H54" s="13" t="inlineStr">
        <is>
          <t>BNY Mellon Depositary Receipts Annual Market Review (2024 edition)</t>
        </is>
      </c>
      <c r="J54" s="14" t="inlineStr">
        <is>
          <t>https://www.adrbnymellon.com/market-review</t>
        </is>
      </c>
    </row>
    <row r="55" ht="15" customHeight="1">
      <c r="A55" s="58" t="inlineStr">
        <is>
          <t>ETF AUM 2024</t>
        </is>
      </c>
      <c r="B55" s="13" t="inlineStr">
        <is>
          <t>ICI '5 Takeaways from 2025 Fact Book' — AUM crossed $10T</t>
        </is>
      </c>
      <c r="D55" s="14" t="inlineStr">
        <is>
          <t>https://www.ici.org/25-view-factbook-takeaways</t>
        </is>
      </c>
      <c r="G55" s="58" t="inlineStr">
        <is>
          <t>ADR mkt cap (outstanding)</t>
        </is>
      </c>
      <c r="H55" s="13" t="inlineStr">
        <is>
          <t>BNY Mellon DR Directory — current ADR outstanding</t>
        </is>
      </c>
      <c r="J55" s="14" t="inlineStr">
        <is>
          <t>https://www.adrbnymellon.com/directory/dr-directory</t>
        </is>
      </c>
    </row>
    <row r="56" ht="15" customHeight="1">
      <c r="A56" s="58" t="inlineStr">
        <is>
          <t>ETF AUM 2025</t>
        </is>
      </c>
      <c r="B56" s="13" t="inlineStr">
        <is>
          <t>American Century: US ETF AUM $13.46T at YE2025</t>
        </is>
      </c>
      <c r="D56" s="14" t="inlineStr">
        <is>
          <t>https://www.americancentury.com/insights/etfs-defying-gravity/</t>
        </is>
      </c>
      <c r="G56" s="58" t="inlineStr">
        <is>
          <t>US equity trading volume</t>
        </is>
      </c>
      <c r="H56" s="13" t="inlineStr">
        <is>
          <t>SIFMA 2025 Fact Book, Table 7.3 (equity trading volumes)</t>
        </is>
      </c>
      <c r="J56" s="14" t="inlineStr">
        <is>
          <t>https://www.sifma.org/research/statistics/fact-book</t>
        </is>
      </c>
    </row>
    <row r="57" ht="15" customHeight="1">
      <c r="A57" s="58" t="inlineStr">
        <is>
          <t>US equity mkt cap</t>
        </is>
      </c>
      <c r="B57" s="13" t="inlineStr">
        <is>
          <t>SIFMA 2025 Capital Markets Fact Book, Table 6.1</t>
        </is>
      </c>
      <c r="D57" s="14" t="inlineStr">
        <is>
          <t>https://www.sifma.org/research/statistics/fact-book</t>
        </is>
      </c>
      <c r="G57" s="58" t="inlineStr">
        <is>
          <t>US equity mkt cap (ref)</t>
        </is>
      </c>
      <c r="H57" s="13" t="inlineStr">
        <is>
          <t>World Federation of Exchanges — annual statistics</t>
        </is>
      </c>
      <c r="J57" s="14" t="inlineStr">
        <is>
          <t>https://www.world-exchanges.org/our-work/statistics</t>
        </is>
      </c>
    </row>
    <row r="58" ht="15" customHeight="1">
      <c r="A58" s="58" t="inlineStr">
        <is>
          <t># of ETFs</t>
        </is>
      </c>
      <c r="B58" s="13" t="inlineStr">
        <is>
          <t>ICI monthly ETF statistical releases</t>
        </is>
      </c>
      <c r="D58" s="14" t="inlineStr">
        <is>
          <t>https://www.ici.org/research/stats/etf_flows</t>
        </is>
      </c>
      <c r="G58" s="58" t="inlineStr">
        <is>
          <t>Pre-2000 ADR values</t>
        </is>
      </c>
      <c r="H58" s="13" t="inlineStr">
        <is>
          <t>Bernstein estimates from WFE aggregates — verify against BNY archive</t>
        </is>
      </c>
      <c r="J58" s="25" t="inlineStr">
        <is>
          <t>Verify on terminal</t>
        </is>
      </c>
    </row>
    <row r="59" ht="15" customHeight="1">
      <c r="A59" s="65" t="inlineStr">
        <is>
          <t>2024-2025E figures</t>
        </is>
      </c>
      <c r="B59" s="66" t="inlineStr">
        <is>
          <t>Bernstein estimates where ICI/SIFMA actuals not yet published</t>
        </is>
      </c>
      <c r="C59" s="10" t="n"/>
      <c r="D59" s="10" t="n"/>
      <c r="E59" s="10" t="n"/>
      <c r="F59" s="10" t="n"/>
      <c r="G59" s="10" t="n"/>
      <c r="H59" s="10" t="n"/>
      <c r="I59" s="10" t="n"/>
    </row>
    <row r="60" ht="23.25" customHeight="1">
      <c r="A60" s="61" t="n"/>
      <c r="B60" s="61" t="inlineStr">
        <is>
          <t>Launch</t>
        </is>
      </c>
      <c r="C60" s="61" t="inlineStr">
        <is>
          <t>Yr 5 Pen.</t>
        </is>
      </c>
      <c r="D60" s="61" t="inlineStr">
        <is>
          <t>Yr 10 Pen.</t>
        </is>
      </c>
      <c r="E60" s="61" t="inlineStr">
        <is>
          <t>Yr 15 Pen.</t>
        </is>
      </c>
      <c r="F60" s="61" t="inlineStr">
        <is>
          <t>Yr 20 Pen.</t>
        </is>
      </c>
      <c r="G60" s="61" t="inlineStr">
        <is>
          <t>Current Pen.</t>
        </is>
      </c>
      <c r="H60" s="61" t="inlineStr">
        <is>
          <t>Terminal View</t>
        </is>
      </c>
      <c r="I60" s="61" t="inlineStr">
        <is>
          <t>Primary Driver</t>
        </is>
      </c>
    </row>
    <row r="61" ht="15" customHeight="1">
      <c r="A61" s="11" t="inlineStr">
        <is>
          <t>US ETFs</t>
        </is>
      </c>
      <c r="B61" s="23" t="n">
        <v>1993</v>
      </c>
      <c r="C61" s="62">
        <f>D10</f>
        <v/>
      </c>
      <c r="D61" s="62">
        <f>D15</f>
        <v/>
      </c>
      <c r="E61" s="62">
        <f>D20</f>
        <v/>
      </c>
      <c r="F61" s="62">
        <f>D25</f>
        <v/>
      </c>
      <c r="G61" s="62">
        <f>D38</f>
        <v/>
      </c>
      <c r="H61" s="11" t="inlineStr">
        <is>
          <t>20-25%</t>
        </is>
      </c>
      <c r="I61" s="67" t="inlineStr">
        <is>
          <t>New product wrapper; tax efficiency</t>
        </is>
      </c>
    </row>
    <row r="62" ht="15" customHeight="1">
      <c r="A62" s="11" t="inlineStr">
        <is>
          <t>US ADRs</t>
        </is>
      </c>
      <c r="B62" s="23" t="n">
        <v>1990</v>
      </c>
      <c r="C62" s="62">
        <f>J10</f>
        <v/>
      </c>
      <c r="D62" s="62">
        <f>J15</f>
        <v/>
      </c>
      <c r="E62" s="62">
        <f>J20</f>
        <v/>
      </c>
      <c r="F62" s="62">
        <f>J25</f>
        <v/>
      </c>
      <c r="G62" s="62">
        <f>J41</f>
        <v/>
      </c>
      <c r="H62" s="11" t="inlineStr">
        <is>
          <t>2-5%</t>
        </is>
      </c>
      <c r="I62" s="67" t="inlineStr">
        <is>
          <t>Cross-border access wrapper; stable niche</t>
        </is>
      </c>
    </row>
    <row r="63" ht="15" customHeight="1">
      <c r="A63" s="68" t="inlineStr">
        <is>
          <t>Tokenized US equities</t>
        </is>
      </c>
      <c r="B63" s="69" t="n">
        <v>2026</v>
      </c>
      <c r="C63" s="70">
        <f>Projection!F21</f>
        <v/>
      </c>
      <c r="D63" s="70">
        <f>Projection!K21</f>
        <v/>
      </c>
      <c r="E63" s="71" t="inlineStr">
        <is>
          <t>N/A</t>
        </is>
      </c>
      <c r="F63" s="71" t="inlineStr">
        <is>
          <t>N/A</t>
        </is>
      </c>
      <c r="G63" s="71" t="inlineStr">
        <is>
          <t>N/A</t>
        </is>
      </c>
      <c r="H63" s="68" t="inlineStr">
        <is>
          <t>5-12%</t>
        </is>
      </c>
      <c r="I63" s="72" t="inlineStr">
        <is>
          <t>New rail; 24/7 settlement, global access, collateral</t>
        </is>
      </c>
    </row>
    <row r="65" ht="15" customHeight="1">
      <c r="A65" s="63" t="inlineStr">
        <is>
          <t>Implication</t>
        </is>
      </c>
      <c r="B65" s="1" t="inlineStr">
        <is>
          <t>Base case ~7% penetration at year 10 is aggressive vs. ETF precedent (1.1% at year 10) but conservative vs. the argument that tokenization is infrastructure migration, not a new product. ADR analogue suggests cross-border access alone could sustain 5-7%. Settlement and collateral benefits are additive. Bear case floors at ADR-like 2-5%; bull case could approach ETF-like trajectory with 10-15 year lag compression.</t>
        </is>
      </c>
    </row>
    <row r="66" ht="15" customHeight="1"/>
    <row r="68" ht="15" customHeight="1">
      <c r="A68" s="59" t="inlineStr">
        <is>
          <t>Data notes</t>
        </is>
      </c>
      <c r="B68" s="25" t="inlineStr">
        <is>
          <t>ETF AUM: ICI Fact Book is canonical source; pre-2000 data from ETF.com archives. ADR data: BNY Mellon annual DR Market Reviews are primary source; trading values before 2000 are estimated from WFE/SIFMA aggregates. US equity mkt cap: S&amp;P Global / Wilshire 5000 total market index. 2024-2025E figures are Bernstein estimates. Cross-verify ADR trading values against BNY Mellon's published annual reviews on your terminal.</t>
        </is>
      </c>
    </row>
    <row r="69" ht="15" customHeight="1"/>
  </sheetData>
  <mergeCells count="4">
    <mergeCell ref="H50:M51"/>
    <mergeCell ref="B65:I66"/>
    <mergeCell ref="B48:E49"/>
    <mergeCell ref="B68:M69"/>
  </mergeCells>
  <hyperlinks>
    <hyperlink xmlns:r="http://schemas.openxmlformats.org/officeDocument/2006/relationships" ref="C12" display="https://www.icifactbook.org/pdf/2025-factbook.pdf" r:id="rId1"/>
    <hyperlink xmlns:r="http://schemas.openxmlformats.org/officeDocument/2006/relationships" ref="C13" display="https://www.ici.org/25-view-factbook-takeaways" r:id="rId2"/>
    <hyperlink xmlns:r="http://schemas.openxmlformats.org/officeDocument/2006/relationships" ref="C14" display="https://www.americancentury.com/insights/etfs-defying-gravity/" r:id="rId3"/>
    <hyperlink xmlns:r="http://schemas.openxmlformats.org/officeDocument/2006/relationships" ref="C15" display="https://www.sifma.org/research/statistics/fact-book" r:id="rId4"/>
    <hyperlink xmlns:r="http://schemas.openxmlformats.org/officeDocument/2006/relationships" ref="C16" display="https://www.ici.org/research/stats/etf_flows" r:id="rId5"/>
    <hyperlink xmlns:r="http://schemas.openxmlformats.org/officeDocument/2006/relationships" ref="C25" display="https://www.adrbnymellon.com/market-review" r:id="rId6"/>
    <hyperlink xmlns:r="http://schemas.openxmlformats.org/officeDocument/2006/relationships" ref="C26" display="https://www.adrbnymellon.com/directory/dr-directory" r:id="rId7"/>
    <hyperlink xmlns:r="http://schemas.openxmlformats.org/officeDocument/2006/relationships" ref="C27" display="https://www.sifma.org/research/statistics/fact-book" r:id="rId8"/>
    <hyperlink xmlns:r="http://schemas.openxmlformats.org/officeDocument/2006/relationships" ref="C28" display="https://www.world-exchanges.org/our-work/statistics" r:id="rId9"/>
    <hyperlink xmlns:r="http://schemas.openxmlformats.org/officeDocument/2006/relationships" ref="B51" r:id="rId10"/>
    <hyperlink xmlns:r="http://schemas.openxmlformats.org/officeDocument/2006/relationships" ref="B52" r:id="rId11"/>
    <hyperlink xmlns:r="http://schemas.openxmlformats.org/officeDocument/2006/relationships" ref="B53" r:id="rId12"/>
    <hyperlink xmlns:r="http://schemas.openxmlformats.org/officeDocument/2006/relationships" ref="H53" r:id="rId13"/>
    <hyperlink xmlns:r="http://schemas.openxmlformats.org/officeDocument/2006/relationships" ref="B54" r:id="rId14"/>
    <hyperlink xmlns:r="http://schemas.openxmlformats.org/officeDocument/2006/relationships" ref="D54" r:id="rId15"/>
    <hyperlink xmlns:r="http://schemas.openxmlformats.org/officeDocument/2006/relationships" ref="H54" r:id="rId16"/>
    <hyperlink xmlns:r="http://schemas.openxmlformats.org/officeDocument/2006/relationships" ref="J54" r:id="rId17"/>
    <hyperlink xmlns:r="http://schemas.openxmlformats.org/officeDocument/2006/relationships" ref="D55" r:id="rId18"/>
    <hyperlink xmlns:r="http://schemas.openxmlformats.org/officeDocument/2006/relationships" ref="H55" r:id="rId19"/>
    <hyperlink xmlns:r="http://schemas.openxmlformats.org/officeDocument/2006/relationships" ref="J55" r:id="rId20"/>
    <hyperlink xmlns:r="http://schemas.openxmlformats.org/officeDocument/2006/relationships" ref="D56" r:id="rId21"/>
    <hyperlink xmlns:r="http://schemas.openxmlformats.org/officeDocument/2006/relationships" ref="H56" r:id="rId22"/>
    <hyperlink xmlns:r="http://schemas.openxmlformats.org/officeDocument/2006/relationships" ref="J56" r:id="rId23"/>
    <hyperlink xmlns:r="http://schemas.openxmlformats.org/officeDocument/2006/relationships" ref="D57" r:id="rId24"/>
    <hyperlink xmlns:r="http://schemas.openxmlformats.org/officeDocument/2006/relationships" ref="J57" r:id="rId25"/>
    <hyperlink xmlns:r="http://schemas.openxmlformats.org/officeDocument/2006/relationships" ref="D58" r:id="rId26"/>
  </hyperlink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62" customWidth="1" min="3" max="3"/>
    <col width="82" customWidth="1" min="4" max="4"/>
  </cols>
  <sheetData>
    <row r="1">
      <c r="A1" s="73" t="inlineStr">
        <is>
          <t>Audit: what changed, what is verified, what is not</t>
        </is>
      </c>
    </row>
    <row r="2">
      <c r="A2" s="74" t="inlineStr">
        <is>
          <t>Prepared 10-Sep-2026. Every source below was opened and read in full; figures are quoted verbatim in the Sources tab.</t>
        </is>
      </c>
    </row>
    <row r="4">
      <c r="A4" s="75" t="inlineStr">
        <is>
          <t>#</t>
        </is>
      </c>
      <c r="B4" s="75" t="inlineStr">
        <is>
          <t>Sheet / cell</t>
        </is>
      </c>
      <c r="C4" s="75" t="inlineStr">
        <is>
          <t>Issue found</t>
        </is>
      </c>
      <c r="D4" s="75" t="inlineStr">
        <is>
          <t>Action taken</t>
        </is>
      </c>
    </row>
    <row r="5">
      <c r="A5" s="77" t="inlineStr">
        <is>
          <t>1</t>
        </is>
      </c>
      <c r="B5" s="77" t="inlineStr">
        <is>
          <t>Assumptions B5, B6</t>
        </is>
      </c>
      <c r="C5" s="77" t="inlineStr">
        <is>
          <t>Market cap $66.0T and 5,492 listed companies were SIFMA 1Q26 figures.</t>
        </is>
      </c>
      <c r="D5" s="77" t="inlineStr">
        <is>
          <t>Updated to SIFMA 2Q26: $76.9T and 5,532 companies. Verified verbatim - see S01.</t>
        </is>
      </c>
    </row>
    <row r="6">
      <c r="A6" s="77" t="inlineStr">
        <is>
          <t>2</t>
        </is>
      </c>
      <c r="B6" s="77" t="inlineStr">
        <is>
          <t>Assumptions B12:D13</t>
        </is>
      </c>
      <c r="C6" s="77" t="inlineStr">
        <is>
          <t>Segment splits summed to the stale 1Q26 totals.</t>
        </is>
      </c>
      <c r="D6" s="77" t="inlineStr">
        <is>
          <t>Rebased to the 2Q26 totals holding the segment shares constant. The bucket split itself remains an unsourced Bernstein estimate and is marked DERIVED.</t>
        </is>
      </c>
    </row>
    <row r="7">
      <c r="A7" s="77" t="inlineStr">
        <is>
          <t>3</t>
        </is>
      </c>
      <c r="B7" s="77" t="inlineStr">
        <is>
          <t>Assumptions G21</t>
        </is>
      </c>
      <c r="C7" s="77" t="inlineStr">
        <is>
          <t>Cited a 'DTCC Dec 2025 SEC no-action letter' but linked to sec.gov/files/rules/sro/nscc/2025/34-104376.pdf, which is the NSCC Rules document and does not contain a no-action letter.</t>
        </is>
      </c>
      <c r="D7" s="77" t="inlineStr">
        <is>
          <t>Replaced with the DTCC release of 11-Dec-2025 (S05).</t>
        </is>
      </c>
    </row>
    <row r="8">
      <c r="A8" s="77" t="inlineStr">
        <is>
          <t>4</t>
        </is>
      </c>
      <c r="B8" s="77" t="inlineStr">
        <is>
          <t>Assumptions G22:G30</t>
        </is>
      </c>
      <c r="C8" s="77" t="inlineStr">
        <is>
          <t>Penetration assumptions carried links to nyse.com, figure.com and newsroom.aboutrobinhood.com homepages, and a Congress.gov URL ending at 'house-bill/' with no bill number. None of these evidence a penetration rate.</t>
        </is>
      </c>
      <c r="D8" s="77" t="inlineStr">
        <is>
          <t>Links removed. Rows marked FORECAST with the reasoning stated in the Basis column. Where a document genuinely informs the year, it is cited (S05, S06, S11).</t>
        </is>
      </c>
    </row>
    <row r="9">
      <c r="A9" s="77" t="inlineStr">
        <is>
          <t>5</t>
        </is>
      </c>
      <c r="B9" s="77" t="inlineStr">
        <is>
          <t>Assumptions G25</t>
        </is>
      </c>
      <c r="C9" s="77" t="inlineStr">
        <is>
          <t>Stated 'ICI 2025 Fact Book: ETF AUM crossed $10T in 2024'.</t>
        </is>
      </c>
      <c r="D9" s="77" t="inlineStr">
        <is>
          <t>ICI July 2026 data now reads $15.67T total ETF assets and $10,090.4bn domestic equity. Cited as S11. Note total ETF assets include bond, commodity and international funds and are not a US equity penetration measure.</t>
        </is>
      </c>
    </row>
    <row r="10">
      <c r="A10" s="77" t="inlineStr">
        <is>
          <t>6</t>
        </is>
      </c>
      <c r="B10" s="77" t="inlineStr">
        <is>
          <t>Revenue Pools N47, N89</t>
        </is>
      </c>
      <c r="C10" s="77" t="inlineStr">
        <is>
          <t>NSCC $0.44 fee was sourced to sec.gov/files/rules/sro/nscc/2025/34-104376.pdf, which is the NSCC Rules document, not the fee filing.</t>
        </is>
      </c>
      <c r="D10" s="77" t="inlineStr">
        <is>
          <t>Repointed to SR-NSCC-2025-017 in the Federal Register (S08), which states verbatim: 'decrease its value into the net fee from $0.46 to $0.44 per million of processed value', implemented 01-Jan-2026.</t>
        </is>
      </c>
    </row>
    <row r="11">
      <c r="A11" s="77" t="inlineStr">
        <is>
          <t>7</t>
        </is>
      </c>
      <c r="B11" s="77" t="inlineStr">
        <is>
          <t>Revenue Pools row 47</t>
        </is>
      </c>
      <c r="C11" s="77" t="inlineStr">
        <is>
          <t>UNIT MISMATCH. The model applies a settlement fee of $0.10 to $0.03 PER TRADE while citing an NSCC fee that is charged PER MILLION OF NOTIONAL. The two are not the same quantity.</t>
        </is>
      </c>
      <c r="D11" s="77" t="inlineStr">
        <is>
          <t>Row left as built to avoid restructuring the model, but marked UNVERIFIED. At $0.44 per million, a $5,000 trade attracts $0.0022, roughly 45x below the $0.10 modelled for 2026. Settlement revenue is overstated on the current basis.</t>
        </is>
      </c>
    </row>
    <row r="12">
      <c r="A12" s="77" t="inlineStr">
        <is>
          <t>8</t>
        </is>
      </c>
      <c r="B12" s="77" t="inlineStr">
        <is>
          <t>Revenue Pools row 96</t>
        </is>
      </c>
      <c r="C12" s="77" t="inlineStr">
        <is>
          <t>'DTCC tokenization authority' was sourced to Wikipedia.</t>
        </is>
      </c>
      <c r="D12" s="77" t="inlineStr">
        <is>
          <t>Replaced with the DTCC release of 11-Dec-2025 (S05).</t>
        </is>
      </c>
    </row>
    <row r="13">
      <c r="A13" s="77" t="inlineStr">
        <is>
          <t>9</t>
        </is>
      </c>
      <c r="B13" s="77" t="inlineStr">
        <is>
          <t>Revenue Pools row 10</t>
        </is>
      </c>
      <c r="C13" s="77" t="inlineStr">
        <is>
          <t>Terminal turnover of 2.5x cites SIFMA Fact Book Table 7.3.</t>
        </is>
      </c>
      <c r="D13" s="77" t="inlineStr">
        <is>
          <t>Cboe FY25 ADV of $1.1T over 251 trading days implies roughly 3.6x on the 2Q26 market cap, and about 4.0x on the FY25 average. The 2.5x terminal is not consistent with the ADV input on the Assumptions tab. Left unchanged, flagged here.</t>
        </is>
      </c>
    </row>
    <row r="14">
      <c r="A14" s="77" t="inlineStr">
        <is>
          <t>10</t>
        </is>
      </c>
      <c r="B14" s="77" t="inlineStr">
        <is>
          <t>Revenue Pools row 18</t>
        </is>
      </c>
      <c r="C14" s="77" t="inlineStr">
        <is>
          <t>Utilisation modelled at 15-35%.</t>
        </is>
      </c>
      <c r="D14" s="77" t="inlineStr">
        <is>
          <t>S&amp;P Global FY25 shows average on-loan $3.25T over average lendable $46.7T, an implied utilisation of 6.96%. The modelled range is roughly 2-5x that. Left unchanged, flagged here.</t>
        </is>
      </c>
    </row>
    <row r="15">
      <c r="A15" s="77" t="inlineStr">
        <is>
          <t>11</t>
        </is>
      </c>
      <c r="B15" s="77" t="inlineStr">
        <is>
          <t>Revenue Pools row 46</t>
        </is>
      </c>
      <c r="C15" s="77" t="inlineStr">
        <is>
          <t>Average trade size sourced to the Cboe market share page.</t>
        </is>
      </c>
      <c r="D15" s="77" t="inlineStr">
        <is>
          <t>That page reports share by venue and does not publish trade size. Source removed; row marked FORECAST.</t>
        </is>
      </c>
    </row>
    <row r="16">
      <c r="A16" s="77" t="inlineStr">
        <is>
          <t>12</t>
        </is>
      </c>
      <c r="B16" s="77" t="inlineStr">
        <is>
          <t>Revenue Pools row 35</t>
        </is>
      </c>
      <c r="C16" s="77" t="inlineStr">
        <is>
          <t>Transfer agent fee per issuer.</t>
        </is>
      </c>
      <c r="D16" s="77" t="inlineStr">
        <is>
          <t>No transfer agent publishes a fee schedule. Marked UNVERIFIED rather than given a source that does not support it.</t>
        </is>
      </c>
    </row>
    <row r="17">
      <c r="A17" s="77" t="inlineStr">
        <is>
          <t>13</t>
        </is>
      </c>
      <c r="B17" s="77" t="inlineStr">
        <is>
          <t>Historical Analogues</t>
        </is>
      </c>
      <c r="C17" s="77" t="inlineStr">
        <is>
          <t>ETF and ADR annual series carried only 'ICI Fact Book' and 'ETF.com' as sources, with no table reference. The ADR series had no source at all.</t>
        </is>
      </c>
      <c r="D17" s="77" t="inlineStr">
        <is>
          <t>Marked UNVERIFIED. These series have not been checked line by line and should not be presented as sourced.</t>
        </is>
      </c>
    </row>
    <row r="18">
      <c r="A18" s="77" t="inlineStr">
        <is>
          <t>14</t>
        </is>
      </c>
      <c r="B18" s="77" t="inlineStr">
        <is>
          <t>New: Sources tab</t>
        </is>
      </c>
      <c r="C18" s="77" t="inlineStr">
        <is>
          <t>The workbook had no source register.</t>
        </is>
      </c>
      <c r="D18" s="77" t="inlineStr">
        <is>
          <t>Added, in the same form as v7: ID, publisher, the exact figure the document supports quoted verbatim, as-of date and link.</t>
        </is>
      </c>
    </row>
    <row r="19">
      <c r="A19" s="77" t="inlineStr">
        <is>
          <t>15</t>
        </is>
      </c>
      <c r="B19" s="77" t="inlineStr">
        <is>
          <t>New: Status / Src ID / Basis columns</t>
        </is>
      </c>
      <c r="C19" s="77" t="inlineStr">
        <is>
          <t>Requested.</t>
        </is>
      </c>
      <c r="D19" s="77" t="inlineStr">
        <is>
          <t>Added to Assumptions, Revenue Pools, Scenarios and Historical Analogues. VERIFIED means the figure is in the linked document. DERIVED means arithmetic on verified figures. FORECAST means judgement. UNVERIFIED means no document supports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2026-06-17T07:12:59Z</dcterms:created>
  <dcterms:modified xmlns:dcterms="http://purl.org/dc/terms/" xmlns:xsi="http://www.w3.org/2001/XMLSchema-instance" xsi:type="dcterms:W3CDTF">2026-09-10T05:37:40Z</dcterms:modified>
  <cp:lastModifiedBy>Sanskar Chindalia</cp:lastModifiedBy>
  <cp:revision>0</cp:revision>
</cp:coreProperties>
</file>